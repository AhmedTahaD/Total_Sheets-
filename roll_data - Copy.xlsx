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h.taha\PycharmProjects\total_cut_test\"/>
    </mc:Choice>
  </mc:AlternateContent>
  <xr:revisionPtr revIDLastSave="0" documentId="13_ncr:1_{48E32A04-1913-4EF5-A169-5B49BCF117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" sheetId="1" r:id="rId1"/>
    <sheet name="Sheet1" sheetId="2" r:id="rId2"/>
    <sheet name="Sheet3" sheetId="4" r:id="rId3"/>
  </sheets>
  <calcPr calcId="191029"/>
</workbook>
</file>

<file path=xl/calcChain.xml><?xml version="1.0" encoding="utf-8"?>
<calcChain xmlns="http://schemas.openxmlformats.org/spreadsheetml/2006/main">
  <c r="H10" i="4" l="1"/>
  <c r="I10" i="4" s="1"/>
  <c r="H11" i="4"/>
  <c r="I11" i="4" s="1"/>
  <c r="H12" i="4"/>
  <c r="I12" i="4" s="1"/>
  <c r="H13" i="4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I13" i="4"/>
  <c r="I38" i="4"/>
  <c r="I56" i="4"/>
  <c r="I74" i="4"/>
  <c r="H9" i="4"/>
  <c r="I9" i="4" s="1"/>
  <c r="F5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3" i="4"/>
  <c r="F4" i="4"/>
  <c r="F2" i="4"/>
  <c r="D3" i="4"/>
  <c r="E3" i="4" s="1"/>
  <c r="D4" i="4"/>
  <c r="E4" i="4" s="1"/>
  <c r="D5" i="4"/>
  <c r="E5" i="4" s="1"/>
  <c r="D6" i="4"/>
  <c r="E6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2" i="4"/>
  <c r="E2" i="4" s="1"/>
  <c r="E33" i="2" l="1"/>
  <c r="E34" i="2"/>
  <c r="E35" i="2"/>
  <c r="E36" i="2"/>
  <c r="E37" i="2"/>
  <c r="E38" i="2"/>
  <c r="E39" i="2"/>
  <c r="E40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6" i="2"/>
  <c r="G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5" i="2"/>
  <c r="E13" i="2"/>
  <c r="E14" i="2"/>
  <c r="E11" i="2"/>
  <c r="E12" i="2"/>
  <c r="E10" i="2"/>
  <c r="E9" i="2"/>
  <c r="E8" i="2"/>
  <c r="E7" i="2"/>
  <c r="E6" i="2"/>
  <c r="E5" i="2"/>
  <c r="E4" i="2"/>
  <c r="E3" i="2"/>
  <c r="E2" i="2"/>
  <c r="E66" i="1"/>
  <c r="E67" i="1"/>
  <c r="E68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45" i="1"/>
  <c r="E46" i="1"/>
  <c r="E47" i="1"/>
  <c r="E48" i="1"/>
  <c r="E49" i="1"/>
  <c r="E50" i="1"/>
  <c r="E44" i="1"/>
  <c r="E39" i="1"/>
  <c r="E40" i="1"/>
  <c r="E41" i="1"/>
  <c r="E42" i="1"/>
  <c r="E43" i="1"/>
  <c r="E38" i="1"/>
</calcChain>
</file>

<file path=xl/sharedStrings.xml><?xml version="1.0" encoding="utf-8"?>
<sst xmlns="http://schemas.openxmlformats.org/spreadsheetml/2006/main" count="130" uniqueCount="91">
  <si>
    <t>Reel ID</t>
  </si>
  <si>
    <t>Number Of sheets</t>
  </si>
  <si>
    <t>Sheet To deliv_3</t>
  </si>
  <si>
    <t>rejected paper</t>
  </si>
  <si>
    <t>Data</t>
  </si>
  <si>
    <t>Start_time</t>
  </si>
  <si>
    <t>End_Time</t>
  </si>
  <si>
    <t>Af2007</t>
  </si>
  <si>
    <t>Af1003</t>
  </si>
  <si>
    <t>Bf1013</t>
  </si>
  <si>
    <t>Bd1013</t>
  </si>
  <si>
    <t>Bc1014</t>
  </si>
  <si>
    <t>Bd1014</t>
  </si>
  <si>
    <t>Bf1015</t>
  </si>
  <si>
    <t>Bc1015</t>
  </si>
  <si>
    <t>Bd1015</t>
  </si>
  <si>
    <t>Bf1016</t>
  </si>
  <si>
    <t>Bd1016</t>
  </si>
  <si>
    <t>Bf1017</t>
  </si>
  <si>
    <t>Bc1017</t>
  </si>
  <si>
    <t>Bd1017</t>
  </si>
  <si>
    <t>Bf1018</t>
  </si>
  <si>
    <t>Bc1018</t>
  </si>
  <si>
    <t>Bd1018</t>
  </si>
  <si>
    <t>Bf1019</t>
  </si>
  <si>
    <t>Bc1019</t>
  </si>
  <si>
    <t>Bd1019</t>
  </si>
  <si>
    <t>Bd1020</t>
  </si>
  <si>
    <t>Bf1020</t>
  </si>
  <si>
    <t>Bc1020</t>
  </si>
  <si>
    <t>Bf1021</t>
  </si>
  <si>
    <t>Bc1021</t>
  </si>
  <si>
    <t>Bd1021</t>
  </si>
  <si>
    <t>Bc1022</t>
  </si>
  <si>
    <t>Bd1022</t>
  </si>
  <si>
    <t>Bf1022</t>
  </si>
  <si>
    <t>Bf1023</t>
  </si>
  <si>
    <t>Bc1023</t>
  </si>
  <si>
    <t>Bd1023</t>
  </si>
  <si>
    <t>Bc1011</t>
  </si>
  <si>
    <t>Bf1011</t>
  </si>
  <si>
    <t>Bd1011</t>
  </si>
  <si>
    <t>Bd1024</t>
  </si>
  <si>
    <t>Bc1024</t>
  </si>
  <si>
    <t>Bf1024</t>
  </si>
  <si>
    <t>Bf1025</t>
  </si>
  <si>
    <t>Bc1025</t>
  </si>
  <si>
    <t>Bd1025</t>
  </si>
  <si>
    <t>Bf1026</t>
  </si>
  <si>
    <t>Bc1026</t>
  </si>
  <si>
    <t>Bd1026</t>
  </si>
  <si>
    <t>Bf1027</t>
  </si>
  <si>
    <t>Bc1027</t>
  </si>
  <si>
    <t>Bd1027</t>
  </si>
  <si>
    <t>Bd1028</t>
  </si>
  <si>
    <t>Bf1029</t>
  </si>
  <si>
    <t>Bc1029</t>
  </si>
  <si>
    <t>Bd1029</t>
  </si>
  <si>
    <t>Bf1030</t>
  </si>
  <si>
    <t>Bc1031</t>
  </si>
  <si>
    <t>Bd1031</t>
  </si>
  <si>
    <t>Bd1032</t>
  </si>
  <si>
    <t>Bf1032</t>
  </si>
  <si>
    <t>Bc1032</t>
  </si>
  <si>
    <t>Bd1033</t>
  </si>
  <si>
    <t>Bc1033</t>
  </si>
  <si>
    <t>Bf1033</t>
  </si>
  <si>
    <t>Bd1034</t>
  </si>
  <si>
    <t>Bf1034</t>
  </si>
  <si>
    <t>Bc1034</t>
  </si>
  <si>
    <t>Bd1035</t>
  </si>
  <si>
    <t>Bd1036</t>
  </si>
  <si>
    <t>Bf1035</t>
  </si>
  <si>
    <t>ISRA</t>
  </si>
  <si>
    <t>diff</t>
  </si>
  <si>
    <t>Bc1036</t>
  </si>
  <si>
    <t>Bf1036</t>
  </si>
  <si>
    <t>Bc1038</t>
  </si>
  <si>
    <t>Bd1038</t>
  </si>
  <si>
    <t>Bd1039</t>
  </si>
  <si>
    <t>Bc1039</t>
  </si>
  <si>
    <t>Sheeter</t>
  </si>
  <si>
    <t>Sheeter Roll</t>
  </si>
  <si>
    <t>21/4/2025</t>
  </si>
  <si>
    <t>error</t>
  </si>
  <si>
    <t>Bc1028</t>
  </si>
  <si>
    <t>Af1028</t>
  </si>
  <si>
    <t>Bf1010</t>
  </si>
  <si>
    <t>Bc1030</t>
  </si>
  <si>
    <t>Bd1030</t>
  </si>
  <si>
    <t>22/4/2025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</si>
</sst>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"/>
    <numFmt numFmtId="174" formatCode="0.0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2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opLeftCell="A39" zoomScale="160" zoomScaleNormal="160" workbookViewId="0">
      <selection activeCell="A65" sqref="A65:XFD68"/>
    </sheetView>
  </sheetViews>
  <sheetFormatPr defaultRowHeight="15" x14ac:dyDescent="0.25"/>
  <cols>
    <col min="1" max="1" width="30" customWidth="1"/>
    <col min="2" max="2" width="30" style="3" customWidth="1"/>
    <col min="3" max="4" width="30" customWidth="1"/>
    <col min="5" max="5" width="30" style="5" customWidth="1"/>
    <col min="6" max="8" width="30" customWidth="1"/>
  </cols>
  <sheetData>
    <row r="1" spans="1:8" ht="24.95" customHeight="1" x14ac:dyDescent="0.25">
      <c r="A1" s="1" t="s">
        <v>0</v>
      </c>
      <c r="B1" s="2" t="s">
        <v>1</v>
      </c>
      <c r="C1" s="1" t="s">
        <v>2</v>
      </c>
      <c r="D1" s="6" t="s">
        <v>73</v>
      </c>
      <c r="E1" s="4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s="3">
        <v>5016.3515918833345</v>
      </c>
    </row>
    <row r="3" spans="1:8" x14ac:dyDescent="0.25">
      <c r="A3" t="s">
        <v>8</v>
      </c>
    </row>
    <row r="4" spans="1:8" x14ac:dyDescent="0.25">
      <c r="A4" t="s">
        <v>9</v>
      </c>
    </row>
    <row r="5" spans="1:8" x14ac:dyDescent="0.25">
      <c r="A5" t="s">
        <v>10</v>
      </c>
      <c r="B5" s="3">
        <v>9575.5499999999993</v>
      </c>
    </row>
    <row r="6" spans="1:8" x14ac:dyDescent="0.25">
      <c r="A6" t="s">
        <v>11</v>
      </c>
      <c r="B6" s="3">
        <v>8196.1333333333332</v>
      </c>
    </row>
    <row r="7" spans="1:8" x14ac:dyDescent="0.25">
      <c r="A7" t="s">
        <v>12</v>
      </c>
      <c r="B7" s="3">
        <v>10256.26666666667</v>
      </c>
    </row>
    <row r="8" spans="1:8" x14ac:dyDescent="0.25">
      <c r="A8" t="s">
        <v>13</v>
      </c>
      <c r="B8" s="3">
        <v>9461.5333333333328</v>
      </c>
    </row>
    <row r="9" spans="1:8" x14ac:dyDescent="0.25">
      <c r="A9" t="s">
        <v>14</v>
      </c>
      <c r="B9" s="3">
        <v>9380.6333333333332</v>
      </c>
    </row>
    <row r="10" spans="1:8" x14ac:dyDescent="0.25">
      <c r="A10" t="s">
        <v>15</v>
      </c>
      <c r="B10" s="3">
        <v>9010.4333333333325</v>
      </c>
    </row>
    <row r="11" spans="1:8" x14ac:dyDescent="0.25">
      <c r="A11" t="s">
        <v>16</v>
      </c>
      <c r="B11" s="3">
        <v>9627.4166666666661</v>
      </c>
    </row>
    <row r="12" spans="1:8" x14ac:dyDescent="0.25">
      <c r="A12" t="s">
        <v>17</v>
      </c>
      <c r="B12" s="3">
        <v>9838.6333333333332</v>
      </c>
    </row>
    <row r="13" spans="1:8" x14ac:dyDescent="0.25">
      <c r="A13" t="s">
        <v>16</v>
      </c>
      <c r="B13" s="3">
        <v>9827.5499999999993</v>
      </c>
    </row>
    <row r="14" spans="1:8" x14ac:dyDescent="0.25">
      <c r="A14" t="s">
        <v>18</v>
      </c>
      <c r="B14" s="3">
        <v>9408.7333333333336</v>
      </c>
    </row>
    <row r="15" spans="1:8" x14ac:dyDescent="0.25">
      <c r="A15" t="s">
        <v>19</v>
      </c>
      <c r="B15" s="3">
        <v>9324.7666666666664</v>
      </c>
    </row>
    <row r="16" spans="1:8" x14ac:dyDescent="0.25">
      <c r="A16" t="s">
        <v>20</v>
      </c>
      <c r="B16" s="3">
        <v>9448.8166666666675</v>
      </c>
    </row>
    <row r="17" spans="1:2" x14ac:dyDescent="0.25">
      <c r="A17" t="s">
        <v>21</v>
      </c>
      <c r="B17" s="3">
        <v>7306.083333333333</v>
      </c>
    </row>
    <row r="18" spans="1:2" x14ac:dyDescent="0.25">
      <c r="A18" t="s">
        <v>22</v>
      </c>
      <c r="B18" s="3">
        <v>6778.85</v>
      </c>
    </row>
    <row r="19" spans="1:2" x14ac:dyDescent="0.25">
      <c r="A19" t="s">
        <v>23</v>
      </c>
      <c r="B19" s="3">
        <v>7602.85</v>
      </c>
    </row>
    <row r="20" spans="1:2" x14ac:dyDescent="0.25">
      <c r="A20" t="s">
        <v>24</v>
      </c>
      <c r="B20" s="3">
        <v>8987.35</v>
      </c>
    </row>
    <row r="21" spans="1:2" x14ac:dyDescent="0.25">
      <c r="A21" t="s">
        <v>25</v>
      </c>
      <c r="B21" s="3">
        <v>9280.25</v>
      </c>
    </row>
    <row r="22" spans="1:2" x14ac:dyDescent="0.25">
      <c r="A22" t="s">
        <v>26</v>
      </c>
      <c r="B22" s="3">
        <v>9314.7833333333328</v>
      </c>
    </row>
    <row r="23" spans="1:2" x14ac:dyDescent="0.25">
      <c r="A23" t="s">
        <v>27</v>
      </c>
      <c r="B23" s="3">
        <v>8221.5833333333339</v>
      </c>
    </row>
    <row r="24" spans="1:2" x14ac:dyDescent="0.25">
      <c r="A24" t="s">
        <v>28</v>
      </c>
      <c r="B24" s="3">
        <v>9221.9666666666672</v>
      </c>
    </row>
    <row r="25" spans="1:2" x14ac:dyDescent="0.25">
      <c r="A25" t="s">
        <v>29</v>
      </c>
      <c r="B25" s="3">
        <v>9249.9333333333325</v>
      </c>
    </row>
    <row r="26" spans="1:2" x14ac:dyDescent="0.25">
      <c r="A26" t="s">
        <v>30</v>
      </c>
      <c r="B26" s="3">
        <v>9234.35</v>
      </c>
    </row>
    <row r="27" spans="1:2" x14ac:dyDescent="0.25">
      <c r="A27" t="s">
        <v>31</v>
      </c>
      <c r="B27" s="3">
        <v>7375.5166666666664</v>
      </c>
    </row>
    <row r="28" spans="1:2" x14ac:dyDescent="0.25">
      <c r="A28" t="s">
        <v>32</v>
      </c>
      <c r="B28" s="3">
        <v>8950.1333333333332</v>
      </c>
    </row>
    <row r="29" spans="1:2" x14ac:dyDescent="0.25">
      <c r="A29" t="s">
        <v>33</v>
      </c>
      <c r="B29" s="3">
        <v>7915.416666666667</v>
      </c>
    </row>
    <row r="30" spans="1:2" x14ac:dyDescent="0.25">
      <c r="A30" t="s">
        <v>34</v>
      </c>
      <c r="B30" s="3">
        <v>7852.8666666666668</v>
      </c>
    </row>
    <row r="31" spans="1:2" x14ac:dyDescent="0.25">
      <c r="A31" t="s">
        <v>35</v>
      </c>
      <c r="B31" s="3">
        <v>7921.7666666666664</v>
      </c>
    </row>
    <row r="32" spans="1:2" x14ac:dyDescent="0.25">
      <c r="A32" t="s">
        <v>36</v>
      </c>
      <c r="B32" s="3">
        <v>5510.5166666666664</v>
      </c>
    </row>
    <row r="33" spans="1:5" x14ac:dyDescent="0.25">
      <c r="A33" t="s">
        <v>37</v>
      </c>
      <c r="B33" s="3">
        <v>5506.6166666666668</v>
      </c>
    </row>
    <row r="34" spans="1:5" x14ac:dyDescent="0.25">
      <c r="A34" t="s">
        <v>38</v>
      </c>
      <c r="B34" s="3">
        <v>5508.35</v>
      </c>
    </row>
    <row r="35" spans="1:5" x14ac:dyDescent="0.25">
      <c r="A35" t="s">
        <v>39</v>
      </c>
      <c r="B35" s="3">
        <v>1306.083333333333</v>
      </c>
    </row>
    <row r="36" spans="1:5" x14ac:dyDescent="0.25">
      <c r="A36" t="s">
        <v>40</v>
      </c>
      <c r="B36" s="3">
        <v>1261.416666666667</v>
      </c>
    </row>
    <row r="37" spans="1:5" x14ac:dyDescent="0.25">
      <c r="A37" t="s">
        <v>41</v>
      </c>
      <c r="B37" s="3">
        <v>713.11666666666667</v>
      </c>
    </row>
    <row r="38" spans="1:5" x14ac:dyDescent="0.25">
      <c r="A38" t="s">
        <v>42</v>
      </c>
      <c r="B38" s="3">
        <v>4438.1000000000004</v>
      </c>
      <c r="C38">
        <v>4944</v>
      </c>
      <c r="E38" s="5">
        <f>C38-B38</f>
        <v>505.89999999999964</v>
      </c>
    </row>
    <row r="39" spans="1:5" x14ac:dyDescent="0.25">
      <c r="A39" t="s">
        <v>43</v>
      </c>
      <c r="B39" s="3">
        <v>4903.5333333333338</v>
      </c>
      <c r="C39">
        <v>4939</v>
      </c>
      <c r="E39" s="5">
        <f t="shared" ref="E39:E68" si="0">C39-B39</f>
        <v>35.466666666666242</v>
      </c>
    </row>
    <row r="40" spans="1:5" x14ac:dyDescent="0.25">
      <c r="A40" t="s">
        <v>44</v>
      </c>
      <c r="B40" s="3">
        <v>4827.1333333333332</v>
      </c>
      <c r="C40">
        <v>4938</v>
      </c>
      <c r="E40" s="5">
        <f t="shared" si="0"/>
        <v>110.86666666666679</v>
      </c>
    </row>
    <row r="41" spans="1:5" x14ac:dyDescent="0.25">
      <c r="A41" t="s">
        <v>45</v>
      </c>
      <c r="B41" s="3">
        <v>9818.4166666666661</v>
      </c>
      <c r="C41">
        <v>10017</v>
      </c>
      <c r="E41" s="5">
        <f t="shared" si="0"/>
        <v>198.58333333333394</v>
      </c>
    </row>
    <row r="42" spans="1:5" x14ac:dyDescent="0.25">
      <c r="A42" t="s">
        <v>46</v>
      </c>
      <c r="B42" s="3">
        <v>10102.38333333333</v>
      </c>
      <c r="C42">
        <v>10033</v>
      </c>
      <c r="E42" s="5">
        <f t="shared" si="0"/>
        <v>-69.383333333329574</v>
      </c>
    </row>
    <row r="43" spans="1:5" x14ac:dyDescent="0.25">
      <c r="A43" t="s">
        <v>47</v>
      </c>
      <c r="B43">
        <v>10219.61666666667</v>
      </c>
      <c r="C43">
        <v>10029</v>
      </c>
      <c r="E43" s="5">
        <f t="shared" si="0"/>
        <v>-190.61666666667043</v>
      </c>
    </row>
    <row r="44" spans="1:5" x14ac:dyDescent="0.25">
      <c r="A44" t="s">
        <v>48</v>
      </c>
      <c r="B44">
        <v>9763</v>
      </c>
      <c r="C44">
        <v>9984</v>
      </c>
      <c r="E44" s="5">
        <f t="shared" si="0"/>
        <v>221</v>
      </c>
    </row>
    <row r="45" spans="1:5" x14ac:dyDescent="0.25">
      <c r="A45" t="s">
        <v>49</v>
      </c>
      <c r="B45">
        <v>9716.4166666666661</v>
      </c>
      <c r="E45" s="5">
        <f t="shared" si="0"/>
        <v>-9716.4166666666661</v>
      </c>
    </row>
    <row r="46" spans="1:5" x14ac:dyDescent="0.25">
      <c r="A46" t="s">
        <v>50</v>
      </c>
      <c r="B46">
        <v>9802.7666666666664</v>
      </c>
      <c r="E46" s="5">
        <f t="shared" si="0"/>
        <v>-9802.7666666666664</v>
      </c>
    </row>
    <row r="47" spans="1:5" x14ac:dyDescent="0.25">
      <c r="A47" t="s">
        <v>51</v>
      </c>
      <c r="B47">
        <v>9790.6166666666668</v>
      </c>
      <c r="E47" s="5">
        <f t="shared" si="0"/>
        <v>-9790.6166666666668</v>
      </c>
    </row>
    <row r="48" spans="1:5" x14ac:dyDescent="0.25">
      <c r="A48" t="s">
        <v>52</v>
      </c>
      <c r="B48">
        <v>9805.0499999999993</v>
      </c>
      <c r="E48" s="5">
        <f t="shared" si="0"/>
        <v>-9805.0499999999993</v>
      </c>
    </row>
    <row r="49" spans="1:5" x14ac:dyDescent="0.25">
      <c r="A49" t="s">
        <v>53</v>
      </c>
      <c r="B49">
        <v>9841.5666666666675</v>
      </c>
      <c r="C49">
        <v>10086</v>
      </c>
      <c r="E49" s="5">
        <f t="shared" si="0"/>
        <v>244.43333333333248</v>
      </c>
    </row>
    <row r="50" spans="1:5" x14ac:dyDescent="0.25">
      <c r="A50" t="s">
        <v>53</v>
      </c>
      <c r="B50">
        <v>9841.5666666666675</v>
      </c>
      <c r="E50" s="5">
        <f t="shared" si="0"/>
        <v>-9841.5666666666675</v>
      </c>
    </row>
    <row r="51" spans="1:5" x14ac:dyDescent="0.25">
      <c r="A51" t="s">
        <v>54</v>
      </c>
      <c r="B51">
        <v>9038</v>
      </c>
      <c r="E51" s="5">
        <f t="shared" si="0"/>
        <v>-9038</v>
      </c>
    </row>
    <row r="52" spans="1:5" x14ac:dyDescent="0.25">
      <c r="A52" t="s">
        <v>55</v>
      </c>
      <c r="B52">
        <v>9844</v>
      </c>
      <c r="E52" s="5">
        <f t="shared" si="0"/>
        <v>-9844</v>
      </c>
    </row>
    <row r="53" spans="1:5" x14ac:dyDescent="0.25">
      <c r="A53" t="s">
        <v>56</v>
      </c>
      <c r="B53">
        <v>9153</v>
      </c>
      <c r="E53" s="5">
        <f t="shared" si="0"/>
        <v>-9153</v>
      </c>
    </row>
    <row r="54" spans="1:5" x14ac:dyDescent="0.25">
      <c r="A54" t="s">
        <v>57</v>
      </c>
      <c r="B54">
        <v>9404</v>
      </c>
      <c r="E54" s="5">
        <f t="shared" si="0"/>
        <v>-9404</v>
      </c>
    </row>
    <row r="55" spans="1:5" x14ac:dyDescent="0.25">
      <c r="A55" t="s">
        <v>58</v>
      </c>
      <c r="B55">
        <v>7243</v>
      </c>
      <c r="E55" s="5">
        <f t="shared" si="0"/>
        <v>-7243</v>
      </c>
    </row>
    <row r="56" spans="1:5" x14ac:dyDescent="0.25">
      <c r="A56" t="s">
        <v>59</v>
      </c>
      <c r="B56">
        <v>6631</v>
      </c>
      <c r="E56" s="5">
        <f t="shared" si="0"/>
        <v>-6631</v>
      </c>
    </row>
    <row r="57" spans="1:5" x14ac:dyDescent="0.25">
      <c r="A57" t="s">
        <v>60</v>
      </c>
      <c r="B57">
        <v>7369</v>
      </c>
      <c r="E57" s="5">
        <f t="shared" si="0"/>
        <v>-7369</v>
      </c>
    </row>
    <row r="58" spans="1:5" x14ac:dyDescent="0.25">
      <c r="A58" t="s">
        <v>61</v>
      </c>
      <c r="B58">
        <v>8497</v>
      </c>
      <c r="E58" s="5">
        <f t="shared" si="0"/>
        <v>-8497</v>
      </c>
    </row>
    <row r="59" spans="1:5" x14ac:dyDescent="0.25">
      <c r="A59" t="s">
        <v>62</v>
      </c>
      <c r="B59">
        <v>8296</v>
      </c>
      <c r="E59" s="5">
        <f t="shared" si="0"/>
        <v>-8296</v>
      </c>
    </row>
    <row r="60" spans="1:5" x14ac:dyDescent="0.25">
      <c r="A60" t="s">
        <v>63</v>
      </c>
      <c r="B60">
        <v>8840</v>
      </c>
      <c r="E60" s="5">
        <f t="shared" si="0"/>
        <v>-8840</v>
      </c>
    </row>
    <row r="61" spans="1:5" x14ac:dyDescent="0.25">
      <c r="A61" t="s">
        <v>64</v>
      </c>
      <c r="B61">
        <v>8546</v>
      </c>
      <c r="E61" s="5">
        <f t="shared" si="0"/>
        <v>-8546</v>
      </c>
    </row>
    <row r="62" spans="1:5" x14ac:dyDescent="0.25">
      <c r="A62" t="s">
        <v>65</v>
      </c>
      <c r="B62">
        <v>8587</v>
      </c>
      <c r="E62" s="5">
        <f t="shared" si="0"/>
        <v>-8587</v>
      </c>
    </row>
    <row r="63" spans="1:5" x14ac:dyDescent="0.25">
      <c r="A63" t="s">
        <v>66</v>
      </c>
      <c r="B63">
        <v>8548</v>
      </c>
      <c r="E63" s="5">
        <f t="shared" si="0"/>
        <v>-8548</v>
      </c>
    </row>
    <row r="64" spans="1:5" x14ac:dyDescent="0.25">
      <c r="A64" t="s">
        <v>67</v>
      </c>
      <c r="B64">
        <v>842</v>
      </c>
      <c r="E64" s="5">
        <f t="shared" si="0"/>
        <v>-842</v>
      </c>
    </row>
    <row r="65" spans="1:5" x14ac:dyDescent="0.25">
      <c r="A65" t="s">
        <v>68</v>
      </c>
      <c r="B65">
        <v>6951</v>
      </c>
      <c r="C65">
        <v>8808</v>
      </c>
      <c r="E65" s="5">
        <f t="shared" si="0"/>
        <v>1857</v>
      </c>
    </row>
    <row r="66" spans="1:5" x14ac:dyDescent="0.25">
      <c r="A66" t="s">
        <v>69</v>
      </c>
      <c r="B66">
        <v>8765</v>
      </c>
      <c r="E66" s="5">
        <f t="shared" si="0"/>
        <v>-8765</v>
      </c>
    </row>
    <row r="67" spans="1:5" x14ac:dyDescent="0.25">
      <c r="A67" t="s">
        <v>67</v>
      </c>
      <c r="B67">
        <v>7397</v>
      </c>
      <c r="C67">
        <v>7566</v>
      </c>
      <c r="E67" s="5">
        <f t="shared" si="0"/>
        <v>169</v>
      </c>
    </row>
    <row r="68" spans="1:5" x14ac:dyDescent="0.25">
      <c r="A68" t="s">
        <v>70</v>
      </c>
      <c r="B68">
        <v>9929</v>
      </c>
      <c r="C68">
        <v>9581</v>
      </c>
      <c r="E68" s="5">
        <f t="shared" si="0"/>
        <v>-348</v>
      </c>
    </row>
    <row r="69" spans="1:5" x14ac:dyDescent="0.25">
      <c r="A69" t="s">
        <v>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B30A-F014-42AE-8425-AB12532B3254}">
  <dimension ref="A1:G40"/>
  <sheetViews>
    <sheetView workbookViewId="0">
      <selection sqref="A1:B1"/>
    </sheetView>
  </sheetViews>
  <sheetFormatPr defaultRowHeight="15" x14ac:dyDescent="0.25"/>
  <cols>
    <col min="1" max="1" width="16.85546875" customWidth="1"/>
    <col min="2" max="2" width="18.85546875" style="8" bestFit="1" customWidth="1"/>
    <col min="3" max="3" width="17.42578125" style="8" bestFit="1" customWidth="1"/>
    <col min="4" max="4" width="16.85546875" style="8" customWidth="1"/>
    <col min="5" max="5" width="15.42578125" style="8" bestFit="1" customWidth="1"/>
  </cols>
  <sheetData>
    <row r="1" spans="1:7" ht="24.95" customHeight="1" thickTop="1" thickBot="1" x14ac:dyDescent="0.3">
      <c r="A1" s="1" t="s">
        <v>0</v>
      </c>
      <c r="B1" s="2" t="s">
        <v>1</v>
      </c>
      <c r="C1" s="1" t="s">
        <v>2</v>
      </c>
      <c r="D1" s="6" t="s">
        <v>73</v>
      </c>
      <c r="E1" s="7" t="s">
        <v>74</v>
      </c>
    </row>
    <row r="2" spans="1:7" ht="15.75" thickTop="1" x14ac:dyDescent="0.25">
      <c r="A2" t="s">
        <v>43</v>
      </c>
      <c r="B2" s="9">
        <v>4903.5333333333338</v>
      </c>
      <c r="C2" s="8">
        <v>4939</v>
      </c>
      <c r="E2" s="10">
        <f t="shared" ref="E2:E40" si="0">C2-B2</f>
        <v>35.466666666666242</v>
      </c>
    </row>
    <row r="3" spans="1:7" x14ac:dyDescent="0.25">
      <c r="A3" t="s">
        <v>44</v>
      </c>
      <c r="B3" s="9">
        <v>4827.1333333333332</v>
      </c>
      <c r="C3" s="8">
        <v>4938</v>
      </c>
      <c r="E3" s="10">
        <f t="shared" si="0"/>
        <v>110.86666666666679</v>
      </c>
    </row>
    <row r="4" spans="1:7" x14ac:dyDescent="0.25">
      <c r="A4" t="s">
        <v>45</v>
      </c>
      <c r="B4" s="9">
        <v>9818.4166666666661</v>
      </c>
      <c r="C4" s="8">
        <v>10017</v>
      </c>
      <c r="E4" s="10">
        <f t="shared" si="0"/>
        <v>198.58333333333394</v>
      </c>
    </row>
    <row r="5" spans="1:7" x14ac:dyDescent="0.25">
      <c r="A5" t="s">
        <v>46</v>
      </c>
      <c r="B5" s="9">
        <v>10102.38333333333</v>
      </c>
      <c r="C5" s="8">
        <v>10033</v>
      </c>
      <c r="E5" s="10">
        <f t="shared" si="0"/>
        <v>-69.383333333329574</v>
      </c>
    </row>
    <row r="6" spans="1:7" x14ac:dyDescent="0.25">
      <c r="A6" t="s">
        <v>47</v>
      </c>
      <c r="B6" s="11">
        <v>10219.61666666667</v>
      </c>
      <c r="C6" s="8">
        <v>10029</v>
      </c>
      <c r="E6" s="10">
        <f t="shared" si="0"/>
        <v>-190.61666666667043</v>
      </c>
    </row>
    <row r="7" spans="1:7" x14ac:dyDescent="0.25">
      <c r="A7" t="s">
        <v>48</v>
      </c>
      <c r="B7" s="8">
        <v>9763</v>
      </c>
      <c r="C7" s="8">
        <v>9984</v>
      </c>
      <c r="E7" s="10">
        <f t="shared" si="0"/>
        <v>221</v>
      </c>
    </row>
    <row r="8" spans="1:7" x14ac:dyDescent="0.25">
      <c r="A8" t="s">
        <v>67</v>
      </c>
      <c r="B8" s="8">
        <v>7397</v>
      </c>
      <c r="C8" s="8">
        <v>7566</v>
      </c>
      <c r="E8" s="10">
        <f t="shared" si="0"/>
        <v>169</v>
      </c>
    </row>
    <row r="9" spans="1:7" x14ac:dyDescent="0.25">
      <c r="A9" t="s">
        <v>70</v>
      </c>
      <c r="B9" s="8">
        <v>9929</v>
      </c>
      <c r="C9" s="8">
        <v>9581</v>
      </c>
      <c r="E9" s="10">
        <f t="shared" si="0"/>
        <v>-348</v>
      </c>
    </row>
    <row r="10" spans="1:7" x14ac:dyDescent="0.25">
      <c r="A10" t="s">
        <v>72</v>
      </c>
      <c r="B10" s="8">
        <v>9851</v>
      </c>
      <c r="C10" s="8">
        <v>9578</v>
      </c>
      <c r="E10" s="10">
        <f t="shared" si="0"/>
        <v>-273</v>
      </c>
    </row>
    <row r="11" spans="1:7" x14ac:dyDescent="0.25">
      <c r="A11" t="s">
        <v>71</v>
      </c>
      <c r="B11" s="8">
        <v>1796</v>
      </c>
      <c r="E11" s="10">
        <f t="shared" si="0"/>
        <v>-1796</v>
      </c>
    </row>
    <row r="12" spans="1:7" x14ac:dyDescent="0.25">
      <c r="A12" t="s">
        <v>75</v>
      </c>
      <c r="B12" s="8">
        <v>1562</v>
      </c>
      <c r="C12" s="8">
        <v>1886</v>
      </c>
      <c r="E12" s="10">
        <f t="shared" si="0"/>
        <v>324</v>
      </c>
    </row>
    <row r="13" spans="1:7" x14ac:dyDescent="0.25">
      <c r="A13" t="s">
        <v>76</v>
      </c>
      <c r="C13" s="8">
        <v>1845</v>
      </c>
      <c r="E13" s="10">
        <f t="shared" si="0"/>
        <v>1845</v>
      </c>
    </row>
    <row r="14" spans="1:7" x14ac:dyDescent="0.25">
      <c r="A14" t="s">
        <v>77</v>
      </c>
      <c r="B14" s="8">
        <v>9384</v>
      </c>
      <c r="C14" s="8">
        <v>9422</v>
      </c>
      <c r="E14" s="10">
        <f t="shared" si="0"/>
        <v>38</v>
      </c>
    </row>
    <row r="15" spans="1:7" x14ac:dyDescent="0.25">
      <c r="A15" t="s">
        <v>78</v>
      </c>
      <c r="B15" s="8">
        <v>9866</v>
      </c>
      <c r="C15" s="8">
        <v>9436</v>
      </c>
      <c r="E15" s="8">
        <f t="shared" si="0"/>
        <v>-430</v>
      </c>
      <c r="F15">
        <v>9380</v>
      </c>
      <c r="G15">
        <f>C15-F15</f>
        <v>56</v>
      </c>
    </row>
    <row r="16" spans="1:7" x14ac:dyDescent="0.25">
      <c r="A16" t="s">
        <v>79</v>
      </c>
      <c r="B16" s="8">
        <v>9451</v>
      </c>
      <c r="C16" s="8">
        <v>9439</v>
      </c>
      <c r="E16" s="8">
        <f t="shared" si="0"/>
        <v>-12</v>
      </c>
      <c r="F16">
        <v>8996</v>
      </c>
      <c r="G16">
        <f>C16-F16</f>
        <v>443</v>
      </c>
    </row>
    <row r="17" spans="1:7" x14ac:dyDescent="0.25">
      <c r="A17" t="s">
        <v>80</v>
      </c>
      <c r="B17" s="8">
        <v>9594</v>
      </c>
      <c r="C17" s="8">
        <v>9449</v>
      </c>
      <c r="E17" s="8">
        <f t="shared" si="0"/>
        <v>-145</v>
      </c>
      <c r="F17">
        <v>9422</v>
      </c>
      <c r="G17">
        <f t="shared" ref="G17:G35" si="1">C17-F17</f>
        <v>27</v>
      </c>
    </row>
    <row r="18" spans="1:7" x14ac:dyDescent="0.25">
      <c r="E18" s="8">
        <f t="shared" si="0"/>
        <v>0</v>
      </c>
      <c r="G18">
        <f t="shared" si="1"/>
        <v>0</v>
      </c>
    </row>
    <row r="19" spans="1:7" x14ac:dyDescent="0.25">
      <c r="E19" s="8">
        <f t="shared" si="0"/>
        <v>0</v>
      </c>
      <c r="G19">
        <f t="shared" si="1"/>
        <v>0</v>
      </c>
    </row>
    <row r="20" spans="1:7" x14ac:dyDescent="0.25">
      <c r="E20" s="8">
        <f t="shared" si="0"/>
        <v>0</v>
      </c>
      <c r="G20">
        <f t="shared" si="1"/>
        <v>0</v>
      </c>
    </row>
    <row r="21" spans="1:7" x14ac:dyDescent="0.25">
      <c r="E21" s="8">
        <f t="shared" si="0"/>
        <v>0</v>
      </c>
      <c r="G21">
        <f t="shared" si="1"/>
        <v>0</v>
      </c>
    </row>
    <row r="22" spans="1:7" x14ac:dyDescent="0.25">
      <c r="E22" s="8">
        <f t="shared" si="0"/>
        <v>0</v>
      </c>
      <c r="G22">
        <f t="shared" si="1"/>
        <v>0</v>
      </c>
    </row>
    <row r="23" spans="1:7" x14ac:dyDescent="0.25">
      <c r="E23" s="8">
        <f t="shared" si="0"/>
        <v>0</v>
      </c>
      <c r="G23">
        <f t="shared" si="1"/>
        <v>0</v>
      </c>
    </row>
    <row r="24" spans="1:7" x14ac:dyDescent="0.25">
      <c r="E24" s="8">
        <f t="shared" si="0"/>
        <v>0</v>
      </c>
      <c r="G24">
        <f t="shared" si="1"/>
        <v>0</v>
      </c>
    </row>
    <row r="25" spans="1:7" x14ac:dyDescent="0.25">
      <c r="E25" s="8">
        <f t="shared" si="0"/>
        <v>0</v>
      </c>
      <c r="G25">
        <f t="shared" si="1"/>
        <v>0</v>
      </c>
    </row>
    <row r="26" spans="1:7" x14ac:dyDescent="0.25">
      <c r="E26" s="8">
        <f t="shared" si="0"/>
        <v>0</v>
      </c>
      <c r="G26">
        <f t="shared" si="1"/>
        <v>0</v>
      </c>
    </row>
    <row r="27" spans="1:7" x14ac:dyDescent="0.25">
      <c r="E27" s="8">
        <f t="shared" si="0"/>
        <v>0</v>
      </c>
      <c r="G27">
        <f t="shared" si="1"/>
        <v>0</v>
      </c>
    </row>
    <row r="28" spans="1:7" x14ac:dyDescent="0.25">
      <c r="E28" s="8">
        <f t="shared" si="0"/>
        <v>0</v>
      </c>
      <c r="G28">
        <f t="shared" si="1"/>
        <v>0</v>
      </c>
    </row>
    <row r="29" spans="1:7" x14ac:dyDescent="0.25">
      <c r="E29" s="8">
        <f t="shared" si="0"/>
        <v>0</v>
      </c>
      <c r="G29">
        <f t="shared" si="1"/>
        <v>0</v>
      </c>
    </row>
    <row r="30" spans="1:7" x14ac:dyDescent="0.25">
      <c r="E30" s="8">
        <f t="shared" si="0"/>
        <v>0</v>
      </c>
      <c r="G30">
        <f t="shared" si="1"/>
        <v>0</v>
      </c>
    </row>
    <row r="31" spans="1:7" x14ac:dyDescent="0.25">
      <c r="E31" s="8">
        <f t="shared" si="0"/>
        <v>0</v>
      </c>
      <c r="G31">
        <f t="shared" si="1"/>
        <v>0</v>
      </c>
    </row>
    <row r="32" spans="1:7" x14ac:dyDescent="0.25">
      <c r="E32" s="8">
        <f t="shared" si="0"/>
        <v>0</v>
      </c>
      <c r="G32">
        <f t="shared" si="1"/>
        <v>0</v>
      </c>
    </row>
    <row r="33" spans="5:7" x14ac:dyDescent="0.25">
      <c r="E33" s="8">
        <f t="shared" si="0"/>
        <v>0</v>
      </c>
      <c r="G33">
        <f t="shared" si="1"/>
        <v>0</v>
      </c>
    </row>
    <row r="34" spans="5:7" x14ac:dyDescent="0.25">
      <c r="E34" s="8">
        <f t="shared" si="0"/>
        <v>0</v>
      </c>
      <c r="G34">
        <f t="shared" si="1"/>
        <v>0</v>
      </c>
    </row>
    <row r="35" spans="5:7" x14ac:dyDescent="0.25">
      <c r="E35" s="8">
        <f t="shared" si="0"/>
        <v>0</v>
      </c>
      <c r="G35">
        <f t="shared" si="1"/>
        <v>0</v>
      </c>
    </row>
    <row r="36" spans="5:7" x14ac:dyDescent="0.25">
      <c r="E36" s="8">
        <f t="shared" si="0"/>
        <v>0</v>
      </c>
    </row>
    <row r="37" spans="5:7" x14ac:dyDescent="0.25">
      <c r="E37" s="8">
        <f t="shared" si="0"/>
        <v>0</v>
      </c>
    </row>
    <row r="38" spans="5:7" x14ac:dyDescent="0.25">
      <c r="E38" s="8">
        <f t="shared" si="0"/>
        <v>0</v>
      </c>
    </row>
    <row r="39" spans="5:7" x14ac:dyDescent="0.25">
      <c r="E39" s="8">
        <f t="shared" si="0"/>
        <v>0</v>
      </c>
    </row>
    <row r="40" spans="5:7" x14ac:dyDescent="0.25">
      <c r="E40" s="8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0C91-6159-419B-A1C5-1B6E9469E62B}">
  <dimension ref="A1:I174"/>
  <sheetViews>
    <sheetView tabSelected="1" topLeftCell="A7" workbookViewId="0">
      <selection activeCell="E8" sqref="E8:F8"/>
    </sheetView>
  </sheetViews>
  <sheetFormatPr defaultRowHeight="15" x14ac:dyDescent="0.25"/>
  <cols>
    <col min="1" max="1" width="7.7109375" bestFit="1" customWidth="1"/>
    <col min="2" max="2" width="22.28515625" style="19" customWidth="1"/>
    <col min="3" max="4" width="9.140625" style="19"/>
    <col min="6" max="6" width="9.5703125" bestFit="1" customWidth="1"/>
    <col min="7" max="7" width="14.7109375" style="18" bestFit="1" customWidth="1"/>
    <col min="8" max="8" width="9.140625" style="19"/>
    <col min="9" max="9" width="9.140625" style="22"/>
  </cols>
  <sheetData>
    <row r="1" spans="1:9" ht="17.25" thickTop="1" thickBot="1" x14ac:dyDescent="0.3">
      <c r="A1" s="1" t="s">
        <v>0</v>
      </c>
      <c r="B1" s="2" t="s">
        <v>1</v>
      </c>
      <c r="C1" s="2" t="s">
        <v>81</v>
      </c>
      <c r="D1" s="2" t="s">
        <v>74</v>
      </c>
      <c r="G1" s="2" t="s">
        <v>82</v>
      </c>
    </row>
    <row r="2" spans="1:9" ht="15.75" thickTop="1" x14ac:dyDescent="0.25">
      <c r="A2" t="s">
        <v>22</v>
      </c>
      <c r="B2" s="19">
        <v>19444</v>
      </c>
      <c r="C2" s="19">
        <v>14281</v>
      </c>
      <c r="D2" s="19">
        <f>B2-C2</f>
        <v>5163</v>
      </c>
      <c r="E2">
        <f>D2-5000</f>
        <v>163</v>
      </c>
      <c r="F2" s="12">
        <f>C2/B2</f>
        <v>0.73446821641637527</v>
      </c>
    </row>
    <row r="3" spans="1:9" x14ac:dyDescent="0.25">
      <c r="A3" t="s">
        <v>25</v>
      </c>
      <c r="B3" s="19">
        <v>19517</v>
      </c>
      <c r="C3" s="19">
        <v>14573</v>
      </c>
      <c r="D3" s="19">
        <f>B3-C3</f>
        <v>4944</v>
      </c>
      <c r="E3">
        <f>D3-5000</f>
        <v>-56</v>
      </c>
      <c r="F3" s="12">
        <f>C3/B3</f>
        <v>0.74668237946405702</v>
      </c>
    </row>
    <row r="4" spans="1:9" x14ac:dyDescent="0.25">
      <c r="A4" t="s">
        <v>26</v>
      </c>
      <c r="B4" s="19">
        <v>19772</v>
      </c>
      <c r="C4" s="19">
        <v>14577</v>
      </c>
      <c r="D4" s="19">
        <f>B4-C4</f>
        <v>5195</v>
      </c>
      <c r="E4">
        <f>D4-5000</f>
        <v>195</v>
      </c>
      <c r="F4" s="12">
        <f>C4/B4</f>
        <v>0.73725470362128265</v>
      </c>
    </row>
    <row r="5" spans="1:9" x14ac:dyDescent="0.25">
      <c r="A5" t="s">
        <v>28</v>
      </c>
      <c r="B5" s="19">
        <v>19475</v>
      </c>
      <c r="C5" s="19">
        <v>14669</v>
      </c>
      <c r="D5" s="19">
        <f>B5-C5</f>
        <v>4806</v>
      </c>
      <c r="E5">
        <f t="shared" ref="E5:E42" si="0">D5-5000</f>
        <v>-194</v>
      </c>
      <c r="F5" s="12">
        <f>C5/B5</f>
        <v>0.75322207958921694</v>
      </c>
    </row>
    <row r="6" spans="1:9" ht="15.75" thickBot="1" x14ac:dyDescent="0.3">
      <c r="A6" t="s">
        <v>29</v>
      </c>
      <c r="B6" s="19">
        <v>15673</v>
      </c>
      <c r="C6" s="19">
        <v>14637</v>
      </c>
      <c r="D6" s="19">
        <f>B6-C6</f>
        <v>1036</v>
      </c>
      <c r="E6">
        <f t="shared" si="0"/>
        <v>-3964</v>
      </c>
      <c r="F6" s="12">
        <f>C6/B6</f>
        <v>0.93389906208128626</v>
      </c>
    </row>
    <row r="7" spans="1:9" ht="19.5" thickBot="1" x14ac:dyDescent="0.35">
      <c r="A7" s="15" t="s">
        <v>83</v>
      </c>
      <c r="B7" s="16"/>
      <c r="C7" s="16"/>
      <c r="D7" s="16"/>
      <c r="E7" s="16"/>
      <c r="F7" s="16"/>
      <c r="G7" s="16"/>
      <c r="H7" s="16"/>
      <c r="I7" s="17"/>
    </row>
    <row r="8" spans="1:9" ht="16.5" thickBot="1" x14ac:dyDescent="0.3">
      <c r="A8" s="13" t="s">
        <v>0</v>
      </c>
      <c r="B8" s="14" t="s">
        <v>1</v>
      </c>
      <c r="C8" s="14" t="s">
        <v>81</v>
      </c>
      <c r="D8" s="14" t="s">
        <v>74</v>
      </c>
      <c r="E8" s="20"/>
      <c r="F8" s="21"/>
      <c r="G8" s="14" t="s">
        <v>82</v>
      </c>
      <c r="H8" s="14" t="s">
        <v>74</v>
      </c>
      <c r="I8" s="14" t="s">
        <v>84</v>
      </c>
    </row>
    <row r="9" spans="1:9" ht="15.75" thickTop="1" x14ac:dyDescent="0.25">
      <c r="A9" t="s">
        <v>51</v>
      </c>
      <c r="B9" s="19">
        <v>17175</v>
      </c>
      <c r="C9" s="19">
        <v>14015</v>
      </c>
      <c r="D9" s="19">
        <f>B9-C9</f>
        <v>3160</v>
      </c>
      <c r="E9">
        <f t="shared" si="0"/>
        <v>-1840</v>
      </c>
      <c r="F9" s="12">
        <f>C9/B9</f>
        <v>0.81601164483260558</v>
      </c>
      <c r="G9" s="18">
        <v>13934.913367866649</v>
      </c>
      <c r="H9" s="18">
        <f>C9-G9</f>
        <v>80.086632133350577</v>
      </c>
      <c r="I9" s="22">
        <f>H9/C9</f>
        <v>5.7143512046629024E-3</v>
      </c>
    </row>
    <row r="10" spans="1:9" x14ac:dyDescent="0.25">
      <c r="A10" t="s">
        <v>54</v>
      </c>
      <c r="B10" s="19">
        <v>15469</v>
      </c>
      <c r="C10" s="19">
        <v>12214</v>
      </c>
      <c r="D10" s="19">
        <f>B10-C10</f>
        <v>3255</v>
      </c>
      <c r="E10">
        <f t="shared" si="0"/>
        <v>-1745</v>
      </c>
      <c r="F10" s="12">
        <f>C10/B10</f>
        <v>0.78957915831663328</v>
      </c>
      <c r="G10" s="18">
        <v>12143.52548745001</v>
      </c>
      <c r="H10" s="18">
        <f t="shared" ref="H10:H74" si="1">C10-G10</f>
        <v>70.474512549990322</v>
      </c>
      <c r="I10" s="22">
        <f t="shared" ref="I10:I74" si="2">H10/C10</f>
        <v>5.7699781029957693E-3</v>
      </c>
    </row>
    <row r="11" spans="1:9" x14ac:dyDescent="0.25">
      <c r="A11" t="s">
        <v>85</v>
      </c>
      <c r="B11" s="8">
        <v>15309</v>
      </c>
      <c r="C11" s="19">
        <v>12219</v>
      </c>
      <c r="D11" s="19">
        <f>B11-C11</f>
        <v>3090</v>
      </c>
      <c r="E11">
        <f t="shared" si="0"/>
        <v>-1910</v>
      </c>
      <c r="F11" s="12">
        <f>C11/B11</f>
        <v>0.79815794630609449</v>
      </c>
      <c r="G11" s="18">
        <v>12150</v>
      </c>
      <c r="H11" s="18">
        <f t="shared" si="1"/>
        <v>69</v>
      </c>
      <c r="I11" s="22">
        <f t="shared" si="2"/>
        <v>5.6469432850478765E-3</v>
      </c>
    </row>
    <row r="12" spans="1:9" x14ac:dyDescent="0.25">
      <c r="A12" t="s">
        <v>86</v>
      </c>
      <c r="B12" s="19">
        <v>15410</v>
      </c>
      <c r="C12" s="19">
        <v>12221</v>
      </c>
      <c r="D12" s="19">
        <f>B12-C12</f>
        <v>3189</v>
      </c>
      <c r="E12">
        <f t="shared" si="0"/>
        <v>-1811</v>
      </c>
      <c r="F12" s="12">
        <f>C12/B12</f>
        <v>0.79305645684620374</v>
      </c>
      <c r="G12" s="18">
        <v>12215.783998183329</v>
      </c>
      <c r="H12" s="18">
        <f t="shared" si="1"/>
        <v>5.2160018166705413</v>
      </c>
      <c r="I12" s="22">
        <f t="shared" si="2"/>
        <v>4.2680646564688168E-4</v>
      </c>
    </row>
    <row r="13" spans="1:9" x14ac:dyDescent="0.25">
      <c r="A13" t="s">
        <v>55</v>
      </c>
      <c r="B13" s="19">
        <v>18272</v>
      </c>
      <c r="C13" s="19">
        <v>14014</v>
      </c>
      <c r="D13" s="19">
        <f>B13-C13</f>
        <v>4258</v>
      </c>
      <c r="E13">
        <f t="shared" si="0"/>
        <v>-742</v>
      </c>
      <c r="F13" s="12">
        <f>C13/B13</f>
        <v>0.76696584938704027</v>
      </c>
      <c r="G13" s="18">
        <v>13833.505590000001</v>
      </c>
      <c r="H13" s="18">
        <f t="shared" si="1"/>
        <v>180.49440999999933</v>
      </c>
      <c r="I13" s="22">
        <f t="shared" si="2"/>
        <v>1.2879578278863945E-2</v>
      </c>
    </row>
    <row r="14" spans="1:9" x14ac:dyDescent="0.25">
      <c r="A14" t="s">
        <v>56</v>
      </c>
      <c r="B14" s="19">
        <v>18206</v>
      </c>
      <c r="C14" s="19">
        <v>14012</v>
      </c>
      <c r="D14" s="19">
        <f>B14-C14</f>
        <v>4194</v>
      </c>
      <c r="E14">
        <f t="shared" si="0"/>
        <v>-806</v>
      </c>
      <c r="F14" s="12">
        <f>C14/B14</f>
        <v>0.76963638360979891</v>
      </c>
      <c r="G14" s="9">
        <v>13965.829277616671</v>
      </c>
      <c r="H14" s="18">
        <f t="shared" si="1"/>
        <v>46.170722383329121</v>
      </c>
      <c r="I14" s="22">
        <f t="shared" si="2"/>
        <v>3.2950843836232601E-3</v>
      </c>
    </row>
    <row r="15" spans="1:9" x14ac:dyDescent="0.25">
      <c r="A15" t="s">
        <v>57</v>
      </c>
      <c r="B15" s="19">
        <v>18407</v>
      </c>
      <c r="C15" s="19">
        <v>14015</v>
      </c>
      <c r="D15" s="19">
        <f>B15-C15</f>
        <v>4392</v>
      </c>
      <c r="E15">
        <f t="shared" si="0"/>
        <v>-608</v>
      </c>
      <c r="F15" s="12">
        <f>C15/B15</f>
        <v>0.76139512142119847</v>
      </c>
      <c r="G15" s="9">
        <v>13953.626414916669</v>
      </c>
      <c r="H15" s="18">
        <f t="shared" si="1"/>
        <v>61.373585083330909</v>
      </c>
      <c r="I15" s="22">
        <f t="shared" si="2"/>
        <v>4.3791355749790159E-3</v>
      </c>
    </row>
    <row r="16" spans="1:9" x14ac:dyDescent="0.25">
      <c r="A16" t="s">
        <v>87</v>
      </c>
      <c r="B16" s="19">
        <v>16415</v>
      </c>
      <c r="C16" s="19">
        <v>12475</v>
      </c>
      <c r="D16" s="19">
        <f>B16-C16</f>
        <v>3940</v>
      </c>
      <c r="E16">
        <f t="shared" si="0"/>
        <v>-1060</v>
      </c>
      <c r="F16" s="12">
        <f>C16/B16</f>
        <v>0.75997563204386231</v>
      </c>
      <c r="G16" s="18">
        <v>12432.8462451</v>
      </c>
      <c r="H16" s="18">
        <f t="shared" si="1"/>
        <v>42.153754900000422</v>
      </c>
      <c r="I16" s="22">
        <f t="shared" si="2"/>
        <v>3.3790585090180698E-3</v>
      </c>
    </row>
    <row r="17" spans="1:9" x14ac:dyDescent="0.25">
      <c r="A17" t="s">
        <v>49</v>
      </c>
      <c r="B17" s="19">
        <v>3139</v>
      </c>
      <c r="C17" s="19">
        <v>2922</v>
      </c>
      <c r="D17" s="19">
        <f>B17-C17</f>
        <v>217</v>
      </c>
      <c r="E17">
        <f t="shared" si="0"/>
        <v>-4783</v>
      </c>
      <c r="F17" s="12">
        <f>C17/B17</f>
        <v>0.93086970372730171</v>
      </c>
      <c r="G17" s="18">
        <v>2834.752149349998</v>
      </c>
      <c r="H17" s="18">
        <f t="shared" si="1"/>
        <v>87.247850650001965</v>
      </c>
      <c r="I17" s="22">
        <f t="shared" si="2"/>
        <v>2.9858949572211486E-2</v>
      </c>
    </row>
    <row r="18" spans="1:9" x14ac:dyDescent="0.25">
      <c r="A18" t="s">
        <v>58</v>
      </c>
      <c r="B18" s="19">
        <v>16530</v>
      </c>
      <c r="C18" s="19">
        <v>14067</v>
      </c>
      <c r="D18" s="19">
        <f>B18-C18</f>
        <v>2463</v>
      </c>
      <c r="E18">
        <f t="shared" si="0"/>
        <v>-2537</v>
      </c>
      <c r="F18" s="12">
        <f>C18/B18</f>
        <v>0.85099818511796732</v>
      </c>
      <c r="G18" s="18">
        <v>14018.515209083331</v>
      </c>
      <c r="H18" s="18">
        <f t="shared" si="1"/>
        <v>48.484790916669226</v>
      </c>
      <c r="I18" s="22">
        <f t="shared" si="2"/>
        <v>3.4467044086634838E-3</v>
      </c>
    </row>
    <row r="19" spans="1:9" x14ac:dyDescent="0.25">
      <c r="A19" t="s">
        <v>88</v>
      </c>
      <c r="B19" s="19">
        <v>16694</v>
      </c>
      <c r="C19" s="19">
        <v>14068</v>
      </c>
      <c r="D19" s="19">
        <f>B19-C19</f>
        <v>2626</v>
      </c>
      <c r="E19">
        <f t="shared" si="0"/>
        <v>-2374</v>
      </c>
      <c r="F19" s="12">
        <f>C19/B19</f>
        <v>0.84269797532047441</v>
      </c>
      <c r="G19" s="18">
        <v>13950.437037333329</v>
      </c>
      <c r="H19" s="18">
        <f t="shared" si="1"/>
        <v>117.5629626666705</v>
      </c>
      <c r="I19" s="22">
        <f t="shared" si="2"/>
        <v>8.3567644773010017E-3</v>
      </c>
    </row>
    <row r="20" spans="1:9" x14ac:dyDescent="0.25">
      <c r="A20" t="s">
        <v>89</v>
      </c>
      <c r="B20" s="19">
        <v>14429</v>
      </c>
      <c r="C20" s="19">
        <v>14068</v>
      </c>
      <c r="D20" s="19">
        <f>B20-C20</f>
        <v>361</v>
      </c>
      <c r="E20">
        <f t="shared" si="0"/>
        <v>-4639</v>
      </c>
      <c r="F20" s="12">
        <f>C20/B20</f>
        <v>0.97498094116016354</v>
      </c>
      <c r="G20" s="18">
        <v>14011.304367166669</v>
      </c>
      <c r="H20" s="18">
        <f t="shared" si="1"/>
        <v>56.695632833330819</v>
      </c>
      <c r="I20" s="22">
        <f t="shared" si="2"/>
        <v>4.0301132238648582E-3</v>
      </c>
    </row>
    <row r="21" spans="1:9" x14ac:dyDescent="0.25">
      <c r="A21" t="s">
        <v>50</v>
      </c>
      <c r="B21" s="19">
        <v>2945</v>
      </c>
      <c r="C21" s="19">
        <v>2957</v>
      </c>
      <c r="D21" s="19">
        <f>B21-C21</f>
        <v>-12</v>
      </c>
      <c r="E21">
        <f t="shared" si="0"/>
        <v>-5012</v>
      </c>
      <c r="F21" s="12">
        <f>C21/B21</f>
        <v>1.0040747028862478</v>
      </c>
      <c r="G21" s="18">
        <v>2975.8077326000021</v>
      </c>
      <c r="H21" s="18">
        <f t="shared" si="1"/>
        <v>-18.807732600002055</v>
      </c>
      <c r="I21" s="22">
        <f t="shared" si="2"/>
        <v>-6.3604100777822298E-3</v>
      </c>
    </row>
    <row r="22" spans="1:9" ht="15.75" thickBot="1" x14ac:dyDescent="0.3">
      <c r="A22" t="s">
        <v>48</v>
      </c>
      <c r="B22" s="19">
        <v>2771</v>
      </c>
      <c r="C22" s="19">
        <v>2898</v>
      </c>
      <c r="D22" s="19">
        <f>B22-C22</f>
        <v>-127</v>
      </c>
      <c r="E22">
        <f t="shared" si="0"/>
        <v>-5127</v>
      </c>
      <c r="F22" s="12">
        <f>C22/B22</f>
        <v>1.0458318296643812</v>
      </c>
      <c r="G22" s="18">
        <v>2897.7688830666671</v>
      </c>
      <c r="H22" s="18">
        <f t="shared" si="1"/>
        <v>0.2311169333329417</v>
      </c>
      <c r="I22" s="22">
        <f t="shared" si="2"/>
        <v>7.9750494593837715E-5</v>
      </c>
    </row>
    <row r="23" spans="1:9" ht="19.5" thickBot="1" x14ac:dyDescent="0.35">
      <c r="A23" s="15" t="s">
        <v>90</v>
      </c>
      <c r="B23" s="16"/>
      <c r="C23" s="16"/>
      <c r="D23" s="16"/>
      <c r="E23" s="16"/>
      <c r="F23" s="16"/>
      <c r="G23" s="16"/>
      <c r="H23" s="16"/>
      <c r="I23" s="17"/>
    </row>
    <row r="24" spans="1:9" x14ac:dyDescent="0.25">
      <c r="D24" s="19">
        <f>B24-C24</f>
        <v>0</v>
      </c>
      <c r="E24">
        <f t="shared" si="0"/>
        <v>-5000</v>
      </c>
      <c r="F24" s="12" t="e">
        <f>C24/B24</f>
        <v>#DIV/0!</v>
      </c>
      <c r="H24" s="18">
        <f t="shared" si="1"/>
        <v>0</v>
      </c>
      <c r="I24" s="22" t="e">
        <f t="shared" si="2"/>
        <v>#DIV/0!</v>
      </c>
    </row>
    <row r="25" spans="1:9" x14ac:dyDescent="0.25">
      <c r="D25" s="19">
        <f>B25-C25</f>
        <v>0</v>
      </c>
      <c r="E25">
        <f t="shared" si="0"/>
        <v>-5000</v>
      </c>
      <c r="F25" s="12" t="e">
        <f>C25/B25</f>
        <v>#DIV/0!</v>
      </c>
      <c r="H25" s="18">
        <f t="shared" si="1"/>
        <v>0</v>
      </c>
      <c r="I25" s="22" t="e">
        <f t="shared" si="2"/>
        <v>#DIV/0!</v>
      </c>
    </row>
    <row r="26" spans="1:9" x14ac:dyDescent="0.25">
      <c r="D26" s="19">
        <f>B26-C26</f>
        <v>0</v>
      </c>
      <c r="E26">
        <f t="shared" si="0"/>
        <v>-5000</v>
      </c>
      <c r="F26" s="12" t="e">
        <f>C26/B26</f>
        <v>#DIV/0!</v>
      </c>
      <c r="H26" s="18">
        <f t="shared" si="1"/>
        <v>0</v>
      </c>
      <c r="I26" s="22" t="e">
        <f t="shared" si="2"/>
        <v>#DIV/0!</v>
      </c>
    </row>
    <row r="27" spans="1:9" x14ac:dyDescent="0.25">
      <c r="D27" s="19">
        <f>B27-C27</f>
        <v>0</v>
      </c>
      <c r="E27">
        <f t="shared" si="0"/>
        <v>-5000</v>
      </c>
      <c r="F27" s="12" t="e">
        <f>C27/B27</f>
        <v>#DIV/0!</v>
      </c>
      <c r="H27" s="18">
        <f t="shared" si="1"/>
        <v>0</v>
      </c>
      <c r="I27" s="22" t="e">
        <f t="shared" si="2"/>
        <v>#DIV/0!</v>
      </c>
    </row>
    <row r="28" spans="1:9" x14ac:dyDescent="0.25">
      <c r="D28" s="19">
        <f>B28-C28</f>
        <v>0</v>
      </c>
      <c r="E28">
        <f t="shared" si="0"/>
        <v>-5000</v>
      </c>
      <c r="F28" s="12" t="e">
        <f>C28/B28</f>
        <v>#DIV/0!</v>
      </c>
      <c r="H28" s="18">
        <f t="shared" si="1"/>
        <v>0</v>
      </c>
      <c r="I28" s="22" t="e">
        <f t="shared" si="2"/>
        <v>#DIV/0!</v>
      </c>
    </row>
    <row r="29" spans="1:9" x14ac:dyDescent="0.25">
      <c r="D29" s="19">
        <f>B29-C29</f>
        <v>0</v>
      </c>
      <c r="E29">
        <f t="shared" si="0"/>
        <v>-5000</v>
      </c>
      <c r="F29" s="12" t="e">
        <f>C29/B29</f>
        <v>#DIV/0!</v>
      </c>
      <c r="H29" s="18">
        <f t="shared" si="1"/>
        <v>0</v>
      </c>
      <c r="I29" s="22" t="e">
        <f t="shared" si="2"/>
        <v>#DIV/0!</v>
      </c>
    </row>
    <row r="30" spans="1:9" x14ac:dyDescent="0.25">
      <c r="D30" s="19">
        <f>B30-C30</f>
        <v>0</v>
      </c>
      <c r="E30">
        <f t="shared" si="0"/>
        <v>-5000</v>
      </c>
      <c r="F30" s="12" t="e">
        <f>C30/B30</f>
        <v>#DIV/0!</v>
      </c>
      <c r="H30" s="18">
        <f t="shared" si="1"/>
        <v>0</v>
      </c>
      <c r="I30" s="22" t="e">
        <f t="shared" si="2"/>
        <v>#DIV/0!</v>
      </c>
    </row>
    <row r="31" spans="1:9" x14ac:dyDescent="0.25">
      <c r="D31" s="19">
        <f>B31-C31</f>
        <v>0</v>
      </c>
      <c r="E31">
        <f t="shared" si="0"/>
        <v>-5000</v>
      </c>
      <c r="F31" s="12" t="e">
        <f>C31/B31</f>
        <v>#DIV/0!</v>
      </c>
      <c r="H31" s="18">
        <f t="shared" si="1"/>
        <v>0</v>
      </c>
      <c r="I31" s="22" t="e">
        <f t="shared" si="2"/>
        <v>#DIV/0!</v>
      </c>
    </row>
    <row r="32" spans="1:9" x14ac:dyDescent="0.25">
      <c r="D32" s="19">
        <f>B32-C32</f>
        <v>0</v>
      </c>
      <c r="E32">
        <f t="shared" si="0"/>
        <v>-5000</v>
      </c>
      <c r="F32" s="12" t="e">
        <f>C32/B32</f>
        <v>#DIV/0!</v>
      </c>
      <c r="H32" s="18">
        <f t="shared" si="1"/>
        <v>0</v>
      </c>
      <c r="I32" s="22" t="e">
        <f t="shared" si="2"/>
        <v>#DIV/0!</v>
      </c>
    </row>
    <row r="33" spans="4:9" x14ac:dyDescent="0.25">
      <c r="D33" s="19">
        <f>B33-C33</f>
        <v>0</v>
      </c>
      <c r="E33">
        <f t="shared" si="0"/>
        <v>-5000</v>
      </c>
      <c r="F33" s="12" t="e">
        <f>C33/B33</f>
        <v>#DIV/0!</v>
      </c>
      <c r="H33" s="18">
        <f t="shared" si="1"/>
        <v>0</v>
      </c>
      <c r="I33" s="22" t="e">
        <f t="shared" si="2"/>
        <v>#DIV/0!</v>
      </c>
    </row>
    <row r="34" spans="4:9" x14ac:dyDescent="0.25">
      <c r="D34" s="19">
        <f>B34-C34</f>
        <v>0</v>
      </c>
      <c r="E34">
        <f t="shared" si="0"/>
        <v>-5000</v>
      </c>
      <c r="F34" s="12" t="e">
        <f>C34/B34</f>
        <v>#DIV/0!</v>
      </c>
      <c r="H34" s="18">
        <f t="shared" si="1"/>
        <v>0</v>
      </c>
      <c r="I34" s="22" t="e">
        <f t="shared" si="2"/>
        <v>#DIV/0!</v>
      </c>
    </row>
    <row r="35" spans="4:9" x14ac:dyDescent="0.25">
      <c r="D35" s="19">
        <f>B35-C35</f>
        <v>0</v>
      </c>
      <c r="E35">
        <f t="shared" si="0"/>
        <v>-5000</v>
      </c>
      <c r="F35" s="12" t="e">
        <f>C35/B35</f>
        <v>#DIV/0!</v>
      </c>
      <c r="H35" s="18">
        <f t="shared" si="1"/>
        <v>0</v>
      </c>
      <c r="I35" s="22" t="e">
        <f t="shared" si="2"/>
        <v>#DIV/0!</v>
      </c>
    </row>
    <row r="36" spans="4:9" x14ac:dyDescent="0.25">
      <c r="D36" s="19">
        <f>B36-C36</f>
        <v>0</v>
      </c>
      <c r="E36">
        <f t="shared" si="0"/>
        <v>-5000</v>
      </c>
      <c r="F36" s="12" t="e">
        <f>C36/B36</f>
        <v>#DIV/0!</v>
      </c>
      <c r="H36" s="18">
        <f t="shared" si="1"/>
        <v>0</v>
      </c>
      <c r="I36" s="22" t="e">
        <f t="shared" si="2"/>
        <v>#DIV/0!</v>
      </c>
    </row>
    <row r="37" spans="4:9" x14ac:dyDescent="0.25">
      <c r="D37" s="19">
        <f>B37-C37</f>
        <v>0</v>
      </c>
      <c r="E37">
        <f t="shared" si="0"/>
        <v>-5000</v>
      </c>
      <c r="F37" s="12" t="e">
        <f>C37/B37</f>
        <v>#DIV/0!</v>
      </c>
      <c r="H37" s="18">
        <f t="shared" si="1"/>
        <v>0</v>
      </c>
      <c r="I37" s="22" t="e">
        <f t="shared" si="2"/>
        <v>#DIV/0!</v>
      </c>
    </row>
    <row r="38" spans="4:9" x14ac:dyDescent="0.25">
      <c r="D38" s="19">
        <f>B38-C38</f>
        <v>0</v>
      </c>
      <c r="E38">
        <f t="shared" si="0"/>
        <v>-5000</v>
      </c>
      <c r="F38" s="12" t="e">
        <f>C38/B38</f>
        <v>#DIV/0!</v>
      </c>
      <c r="H38" s="18">
        <f t="shared" si="1"/>
        <v>0</v>
      </c>
      <c r="I38" s="22" t="e">
        <f t="shared" si="2"/>
        <v>#DIV/0!</v>
      </c>
    </row>
    <row r="39" spans="4:9" x14ac:dyDescent="0.25">
      <c r="D39" s="19">
        <f>B39-C39</f>
        <v>0</v>
      </c>
      <c r="E39">
        <f t="shared" si="0"/>
        <v>-5000</v>
      </c>
      <c r="F39" s="12" t="e">
        <f>C39/B39</f>
        <v>#DIV/0!</v>
      </c>
      <c r="H39" s="18">
        <f t="shared" si="1"/>
        <v>0</v>
      </c>
      <c r="I39" s="22" t="e">
        <f t="shared" si="2"/>
        <v>#DIV/0!</v>
      </c>
    </row>
    <row r="40" spans="4:9" x14ac:dyDescent="0.25">
      <c r="D40" s="19">
        <f>B40-C40</f>
        <v>0</v>
      </c>
      <c r="E40">
        <f t="shared" si="0"/>
        <v>-5000</v>
      </c>
      <c r="F40" s="12" t="e">
        <f>C40/B40</f>
        <v>#DIV/0!</v>
      </c>
      <c r="H40" s="18">
        <f t="shared" si="1"/>
        <v>0</v>
      </c>
      <c r="I40" s="22" t="e">
        <f t="shared" si="2"/>
        <v>#DIV/0!</v>
      </c>
    </row>
    <row r="41" spans="4:9" x14ac:dyDescent="0.25">
      <c r="D41" s="19">
        <f>B41-C41</f>
        <v>0</v>
      </c>
      <c r="E41">
        <f t="shared" si="0"/>
        <v>-5000</v>
      </c>
      <c r="F41" s="12" t="e">
        <f>C41/B41</f>
        <v>#DIV/0!</v>
      </c>
      <c r="H41" s="18">
        <f t="shared" si="1"/>
        <v>0</v>
      </c>
      <c r="I41" s="22" t="e">
        <f t="shared" si="2"/>
        <v>#DIV/0!</v>
      </c>
    </row>
    <row r="42" spans="4:9" x14ac:dyDescent="0.25">
      <c r="D42" s="19">
        <f>B42-C42</f>
        <v>0</v>
      </c>
      <c r="E42">
        <f t="shared" si="0"/>
        <v>-5000</v>
      </c>
      <c r="F42" s="12" t="e">
        <f>C42/B42</f>
        <v>#DIV/0!</v>
      </c>
      <c r="H42" s="18">
        <f t="shared" si="1"/>
        <v>0</v>
      </c>
      <c r="I42" s="22" t="e">
        <f t="shared" si="2"/>
        <v>#DIV/0!</v>
      </c>
    </row>
    <row r="43" spans="4:9" x14ac:dyDescent="0.25">
      <c r="D43" s="19">
        <f>B43-C43</f>
        <v>0</v>
      </c>
      <c r="E43">
        <f>D43-5000</f>
        <v>-5000</v>
      </c>
      <c r="F43" s="12" t="e">
        <f>C43/B43</f>
        <v>#DIV/0!</v>
      </c>
      <c r="H43" s="18">
        <f t="shared" si="1"/>
        <v>0</v>
      </c>
      <c r="I43" s="22" t="e">
        <f t="shared" si="2"/>
        <v>#DIV/0!</v>
      </c>
    </row>
    <row r="44" spans="4:9" x14ac:dyDescent="0.25">
      <c r="D44" s="19">
        <f>B44-C44</f>
        <v>0</v>
      </c>
      <c r="E44">
        <f>D44-5000</f>
        <v>-5000</v>
      </c>
      <c r="F44" s="12" t="e">
        <f>C44/B44</f>
        <v>#DIV/0!</v>
      </c>
      <c r="H44" s="18">
        <f t="shared" si="1"/>
        <v>0</v>
      </c>
      <c r="I44" s="22" t="e">
        <f t="shared" si="2"/>
        <v>#DIV/0!</v>
      </c>
    </row>
    <row r="45" spans="4:9" x14ac:dyDescent="0.25">
      <c r="D45" s="19">
        <f>B45-C45</f>
        <v>0</v>
      </c>
      <c r="E45">
        <f>D45-5000</f>
        <v>-5000</v>
      </c>
      <c r="F45" s="12" t="e">
        <f>C45/B45</f>
        <v>#DIV/0!</v>
      </c>
      <c r="H45" s="18">
        <f t="shared" si="1"/>
        <v>0</v>
      </c>
      <c r="I45" s="22" t="e">
        <f t="shared" si="2"/>
        <v>#DIV/0!</v>
      </c>
    </row>
    <row r="46" spans="4:9" x14ac:dyDescent="0.25">
      <c r="D46" s="19">
        <f>B46-C46</f>
        <v>0</v>
      </c>
      <c r="E46">
        <f t="shared" ref="E46:E51" si="3">D46-5000</f>
        <v>-5000</v>
      </c>
      <c r="F46" s="12" t="e">
        <f>C46/B46</f>
        <v>#DIV/0!</v>
      </c>
      <c r="H46" s="18">
        <f t="shared" si="1"/>
        <v>0</v>
      </c>
      <c r="I46" s="22" t="e">
        <f t="shared" si="2"/>
        <v>#DIV/0!</v>
      </c>
    </row>
    <row r="47" spans="4:9" x14ac:dyDescent="0.25">
      <c r="D47" s="19">
        <f>B47-C47</f>
        <v>0</v>
      </c>
      <c r="E47">
        <f t="shared" si="3"/>
        <v>-5000</v>
      </c>
      <c r="F47" s="12" t="e">
        <f>C47/B47</f>
        <v>#DIV/0!</v>
      </c>
      <c r="H47" s="18">
        <f t="shared" si="1"/>
        <v>0</v>
      </c>
      <c r="I47" s="22" t="e">
        <f t="shared" si="2"/>
        <v>#DIV/0!</v>
      </c>
    </row>
    <row r="48" spans="4:9" x14ac:dyDescent="0.25">
      <c r="D48" s="19">
        <f>B48-C48</f>
        <v>0</v>
      </c>
      <c r="E48">
        <f t="shared" si="3"/>
        <v>-5000</v>
      </c>
      <c r="F48" s="12" t="e">
        <f>C48/B48</f>
        <v>#DIV/0!</v>
      </c>
      <c r="H48" s="18">
        <f t="shared" si="1"/>
        <v>0</v>
      </c>
      <c r="I48" s="22" t="e">
        <f t="shared" si="2"/>
        <v>#DIV/0!</v>
      </c>
    </row>
    <row r="49" spans="4:9" x14ac:dyDescent="0.25">
      <c r="D49" s="19">
        <f>B49-C49</f>
        <v>0</v>
      </c>
      <c r="E49">
        <f t="shared" si="3"/>
        <v>-5000</v>
      </c>
      <c r="F49" s="12" t="e">
        <f>C49/B49</f>
        <v>#DIV/0!</v>
      </c>
      <c r="H49" s="18">
        <f t="shared" si="1"/>
        <v>0</v>
      </c>
      <c r="I49" s="22" t="e">
        <f t="shared" si="2"/>
        <v>#DIV/0!</v>
      </c>
    </row>
    <row r="50" spans="4:9" x14ac:dyDescent="0.25">
      <c r="D50" s="19">
        <f>B50-C50</f>
        <v>0</v>
      </c>
      <c r="E50">
        <f t="shared" si="3"/>
        <v>-5000</v>
      </c>
      <c r="F50" s="12" t="e">
        <f>C50/B50</f>
        <v>#DIV/0!</v>
      </c>
      <c r="H50" s="18">
        <f t="shared" si="1"/>
        <v>0</v>
      </c>
      <c r="I50" s="22" t="e">
        <f t="shared" si="2"/>
        <v>#DIV/0!</v>
      </c>
    </row>
    <row r="51" spans="4:9" x14ac:dyDescent="0.25">
      <c r="D51" s="19">
        <f>B51-C51</f>
        <v>0</v>
      </c>
      <c r="E51">
        <f t="shared" si="3"/>
        <v>-5000</v>
      </c>
      <c r="F51" s="12" t="e">
        <f>C51/B51</f>
        <v>#DIV/0!</v>
      </c>
      <c r="H51" s="18">
        <f t="shared" si="1"/>
        <v>0</v>
      </c>
      <c r="I51" s="22" t="e">
        <f t="shared" si="2"/>
        <v>#DIV/0!</v>
      </c>
    </row>
    <row r="52" spans="4:9" x14ac:dyDescent="0.25">
      <c r="D52" s="19">
        <f>B52-C52</f>
        <v>0</v>
      </c>
      <c r="F52" s="12" t="e">
        <f>C52/B52</f>
        <v>#DIV/0!</v>
      </c>
      <c r="H52" s="18">
        <f t="shared" si="1"/>
        <v>0</v>
      </c>
      <c r="I52" s="22" t="e">
        <f t="shared" si="2"/>
        <v>#DIV/0!</v>
      </c>
    </row>
    <row r="53" spans="4:9" x14ac:dyDescent="0.25">
      <c r="D53" s="19">
        <f>B53-C53</f>
        <v>0</v>
      </c>
      <c r="F53" s="12" t="e">
        <f>C53/B53</f>
        <v>#DIV/0!</v>
      </c>
      <c r="H53" s="18">
        <f t="shared" si="1"/>
        <v>0</v>
      </c>
      <c r="I53" s="22" t="e">
        <f t="shared" si="2"/>
        <v>#DIV/0!</v>
      </c>
    </row>
    <row r="54" spans="4:9" x14ac:dyDescent="0.25">
      <c r="D54" s="19">
        <f>B54-C54</f>
        <v>0</v>
      </c>
      <c r="F54" s="12" t="e">
        <f>C54/B54</f>
        <v>#DIV/0!</v>
      </c>
      <c r="H54" s="18">
        <f t="shared" si="1"/>
        <v>0</v>
      </c>
      <c r="I54" s="22" t="e">
        <f t="shared" si="2"/>
        <v>#DIV/0!</v>
      </c>
    </row>
    <row r="55" spans="4:9" x14ac:dyDescent="0.25">
      <c r="D55" s="19">
        <f>B55-C55</f>
        <v>0</v>
      </c>
      <c r="F55" s="12" t="e">
        <f>C55/B55</f>
        <v>#DIV/0!</v>
      </c>
      <c r="H55" s="18">
        <f t="shared" si="1"/>
        <v>0</v>
      </c>
      <c r="I55" s="22" t="e">
        <f t="shared" si="2"/>
        <v>#DIV/0!</v>
      </c>
    </row>
    <row r="56" spans="4:9" x14ac:dyDescent="0.25">
      <c r="D56" s="19">
        <f>B56-C56</f>
        <v>0</v>
      </c>
      <c r="F56" s="12" t="e">
        <f>C56/B56</f>
        <v>#DIV/0!</v>
      </c>
      <c r="H56" s="18">
        <f t="shared" si="1"/>
        <v>0</v>
      </c>
      <c r="I56" s="22" t="e">
        <f t="shared" si="2"/>
        <v>#DIV/0!</v>
      </c>
    </row>
    <row r="57" spans="4:9" x14ac:dyDescent="0.25">
      <c r="D57" s="19">
        <f>B57-C57</f>
        <v>0</v>
      </c>
      <c r="F57" s="12" t="e">
        <f>C57/B57</f>
        <v>#DIV/0!</v>
      </c>
      <c r="H57" s="18">
        <f t="shared" si="1"/>
        <v>0</v>
      </c>
      <c r="I57" s="22" t="e">
        <f t="shared" si="2"/>
        <v>#DIV/0!</v>
      </c>
    </row>
    <row r="58" spans="4:9" x14ac:dyDescent="0.25">
      <c r="D58" s="19">
        <f>B58-C58</f>
        <v>0</v>
      </c>
      <c r="F58" s="12" t="e">
        <f>C58/B58</f>
        <v>#DIV/0!</v>
      </c>
      <c r="H58" s="18">
        <f t="shared" si="1"/>
        <v>0</v>
      </c>
      <c r="I58" s="22" t="e">
        <f t="shared" si="2"/>
        <v>#DIV/0!</v>
      </c>
    </row>
    <row r="59" spans="4:9" x14ac:dyDescent="0.25">
      <c r="D59" s="19">
        <f>B59-C59</f>
        <v>0</v>
      </c>
      <c r="F59" s="12" t="e">
        <f>C59/B59</f>
        <v>#DIV/0!</v>
      </c>
      <c r="H59" s="18">
        <f t="shared" si="1"/>
        <v>0</v>
      </c>
      <c r="I59" s="22" t="e">
        <f t="shared" si="2"/>
        <v>#DIV/0!</v>
      </c>
    </row>
    <row r="60" spans="4:9" x14ac:dyDescent="0.25">
      <c r="D60" s="19">
        <f>B60-C60</f>
        <v>0</v>
      </c>
      <c r="F60" s="12" t="e">
        <f>C60/B60</f>
        <v>#DIV/0!</v>
      </c>
      <c r="H60" s="18">
        <f t="shared" si="1"/>
        <v>0</v>
      </c>
      <c r="I60" s="22" t="e">
        <f t="shared" si="2"/>
        <v>#DIV/0!</v>
      </c>
    </row>
    <row r="61" spans="4:9" x14ac:dyDescent="0.25">
      <c r="D61" s="19">
        <f>B61-C61</f>
        <v>0</v>
      </c>
      <c r="F61" s="12" t="e">
        <f>C61/B61</f>
        <v>#DIV/0!</v>
      </c>
      <c r="H61" s="18">
        <f t="shared" si="1"/>
        <v>0</v>
      </c>
      <c r="I61" s="22" t="e">
        <f t="shared" si="2"/>
        <v>#DIV/0!</v>
      </c>
    </row>
    <row r="62" spans="4:9" x14ac:dyDescent="0.25">
      <c r="D62" s="19">
        <f>B62-C62</f>
        <v>0</v>
      </c>
      <c r="F62" s="12" t="e">
        <f>C62/B62</f>
        <v>#DIV/0!</v>
      </c>
      <c r="H62" s="18">
        <f t="shared" si="1"/>
        <v>0</v>
      </c>
      <c r="I62" s="22" t="e">
        <f t="shared" si="2"/>
        <v>#DIV/0!</v>
      </c>
    </row>
    <row r="63" spans="4:9" x14ac:dyDescent="0.25">
      <c r="D63" s="19">
        <f>B63-C63</f>
        <v>0</v>
      </c>
      <c r="F63" s="12" t="e">
        <f>C63/B63</f>
        <v>#DIV/0!</v>
      </c>
      <c r="H63" s="18">
        <f t="shared" si="1"/>
        <v>0</v>
      </c>
      <c r="I63" s="22" t="e">
        <f t="shared" si="2"/>
        <v>#DIV/0!</v>
      </c>
    </row>
    <row r="64" spans="4:9" x14ac:dyDescent="0.25">
      <c r="D64" s="19">
        <f>B64-C64</f>
        <v>0</v>
      </c>
      <c r="F64" s="12" t="e">
        <f>C64/B64</f>
        <v>#DIV/0!</v>
      </c>
      <c r="H64" s="18">
        <f t="shared" si="1"/>
        <v>0</v>
      </c>
      <c r="I64" s="22" t="e">
        <f t="shared" si="2"/>
        <v>#DIV/0!</v>
      </c>
    </row>
    <row r="65" spans="4:9" x14ac:dyDescent="0.25">
      <c r="D65" s="19">
        <f>B65-C65</f>
        <v>0</v>
      </c>
      <c r="F65" s="12" t="e">
        <f>C65/B65</f>
        <v>#DIV/0!</v>
      </c>
      <c r="H65" s="18">
        <f t="shared" si="1"/>
        <v>0</v>
      </c>
      <c r="I65" s="22" t="e">
        <f t="shared" si="2"/>
        <v>#DIV/0!</v>
      </c>
    </row>
    <row r="66" spans="4:9" x14ac:dyDescent="0.25">
      <c r="D66" s="19">
        <f>B66-C66</f>
        <v>0</v>
      </c>
      <c r="F66" s="12" t="e">
        <f>C66/B66</f>
        <v>#DIV/0!</v>
      </c>
      <c r="H66" s="18">
        <f t="shared" si="1"/>
        <v>0</v>
      </c>
      <c r="I66" s="22" t="e">
        <f t="shared" si="2"/>
        <v>#DIV/0!</v>
      </c>
    </row>
    <row r="67" spans="4:9" x14ac:dyDescent="0.25">
      <c r="D67" s="19">
        <f>B67-C67</f>
        <v>0</v>
      </c>
      <c r="F67" s="12" t="e">
        <f>C67/B67</f>
        <v>#DIV/0!</v>
      </c>
      <c r="H67" s="18">
        <f t="shared" si="1"/>
        <v>0</v>
      </c>
      <c r="I67" s="22" t="e">
        <f t="shared" si="2"/>
        <v>#DIV/0!</v>
      </c>
    </row>
    <row r="68" spans="4:9" x14ac:dyDescent="0.25">
      <c r="D68" s="19">
        <f>B68-C68</f>
        <v>0</v>
      </c>
      <c r="F68" s="12" t="e">
        <f>C68/B68</f>
        <v>#DIV/0!</v>
      </c>
      <c r="H68" s="18">
        <f t="shared" si="1"/>
        <v>0</v>
      </c>
      <c r="I68" s="22" t="e">
        <f t="shared" si="2"/>
        <v>#DIV/0!</v>
      </c>
    </row>
    <row r="69" spans="4:9" x14ac:dyDescent="0.25">
      <c r="D69" s="19">
        <f>B69-C69</f>
        <v>0</v>
      </c>
      <c r="F69" s="12" t="e">
        <f>C69/B69</f>
        <v>#DIV/0!</v>
      </c>
      <c r="H69" s="18">
        <f t="shared" si="1"/>
        <v>0</v>
      </c>
      <c r="I69" s="22" t="e">
        <f t="shared" si="2"/>
        <v>#DIV/0!</v>
      </c>
    </row>
    <row r="70" spans="4:9" x14ac:dyDescent="0.25">
      <c r="D70" s="19">
        <f>B70-C70</f>
        <v>0</v>
      </c>
      <c r="F70" s="12" t="e">
        <f>C70/B70</f>
        <v>#DIV/0!</v>
      </c>
      <c r="H70" s="18">
        <f t="shared" si="1"/>
        <v>0</v>
      </c>
      <c r="I70" s="22" t="e">
        <f t="shared" si="2"/>
        <v>#DIV/0!</v>
      </c>
    </row>
    <row r="71" spans="4:9" x14ac:dyDescent="0.25">
      <c r="D71" s="19">
        <f>B71-C71</f>
        <v>0</v>
      </c>
      <c r="F71" s="12" t="e">
        <f>C71/B71</f>
        <v>#DIV/0!</v>
      </c>
      <c r="H71" s="18">
        <f t="shared" si="1"/>
        <v>0</v>
      </c>
      <c r="I71" s="22" t="e">
        <f t="shared" si="2"/>
        <v>#DIV/0!</v>
      </c>
    </row>
    <row r="72" spans="4:9" x14ac:dyDescent="0.25">
      <c r="D72" s="19">
        <f>B72-C72</f>
        <v>0</v>
      </c>
      <c r="F72" s="12" t="e">
        <f>C72/B72</f>
        <v>#DIV/0!</v>
      </c>
      <c r="H72" s="18">
        <f t="shared" si="1"/>
        <v>0</v>
      </c>
      <c r="I72" s="22" t="e">
        <f t="shared" si="2"/>
        <v>#DIV/0!</v>
      </c>
    </row>
    <row r="73" spans="4:9" x14ac:dyDescent="0.25">
      <c r="D73" s="19">
        <f>B73-C73</f>
        <v>0</v>
      </c>
      <c r="F73" s="12" t="e">
        <f>C73/B73</f>
        <v>#DIV/0!</v>
      </c>
      <c r="H73" s="18">
        <f t="shared" si="1"/>
        <v>0</v>
      </c>
      <c r="I73" s="22" t="e">
        <f t="shared" si="2"/>
        <v>#DIV/0!</v>
      </c>
    </row>
    <row r="74" spans="4:9" x14ac:dyDescent="0.25">
      <c r="D74" s="19">
        <f>B74-C74</f>
        <v>0</v>
      </c>
      <c r="F74" s="12" t="e">
        <f>C74/B74</f>
        <v>#DIV/0!</v>
      </c>
      <c r="H74" s="18">
        <f t="shared" si="1"/>
        <v>0</v>
      </c>
      <c r="I74" s="22" t="e">
        <f t="shared" si="2"/>
        <v>#DIV/0!</v>
      </c>
    </row>
    <row r="75" spans="4:9" x14ac:dyDescent="0.25">
      <c r="D75" s="19">
        <f>B75-C75</f>
        <v>0</v>
      </c>
      <c r="F75" s="12" t="e">
        <f>C75/B75</f>
        <v>#DIV/0!</v>
      </c>
      <c r="H75" s="18">
        <f t="shared" ref="H75:H80" si="4">C75-G75</f>
        <v>0</v>
      </c>
      <c r="I75" s="22" t="e">
        <f t="shared" ref="I75:I80" si="5">H75/C75</f>
        <v>#DIV/0!</v>
      </c>
    </row>
    <row r="76" spans="4:9" x14ac:dyDescent="0.25">
      <c r="D76" s="19">
        <f>B76-C76</f>
        <v>0</v>
      </c>
      <c r="F76" s="12" t="e">
        <f>C76/B76</f>
        <v>#DIV/0!</v>
      </c>
      <c r="H76" s="18">
        <f t="shared" si="4"/>
        <v>0</v>
      </c>
      <c r="I76" s="22" t="e">
        <f t="shared" si="5"/>
        <v>#DIV/0!</v>
      </c>
    </row>
    <row r="77" spans="4:9" x14ac:dyDescent="0.25">
      <c r="D77" s="19">
        <f>B77-C77</f>
        <v>0</v>
      </c>
      <c r="F77" s="12" t="e">
        <f>C77/B77</f>
        <v>#DIV/0!</v>
      </c>
      <c r="H77" s="18">
        <f t="shared" si="4"/>
        <v>0</v>
      </c>
      <c r="I77" s="22" t="e">
        <f t="shared" si="5"/>
        <v>#DIV/0!</v>
      </c>
    </row>
    <row r="78" spans="4:9" x14ac:dyDescent="0.25">
      <c r="D78" s="19">
        <f>B78-C78</f>
        <v>0</v>
      </c>
      <c r="F78" s="12" t="e">
        <f>C78/B78</f>
        <v>#DIV/0!</v>
      </c>
      <c r="H78" s="18">
        <f t="shared" si="4"/>
        <v>0</v>
      </c>
      <c r="I78" s="22" t="e">
        <f t="shared" si="5"/>
        <v>#DIV/0!</v>
      </c>
    </row>
    <row r="79" spans="4:9" x14ac:dyDescent="0.25">
      <c r="D79" s="19">
        <f>B79-C79</f>
        <v>0</v>
      </c>
      <c r="F79" s="12" t="e">
        <f>C79/B79</f>
        <v>#DIV/0!</v>
      </c>
      <c r="H79" s="18">
        <f t="shared" si="4"/>
        <v>0</v>
      </c>
      <c r="I79" s="22" t="e">
        <f t="shared" si="5"/>
        <v>#DIV/0!</v>
      </c>
    </row>
    <row r="80" spans="4:9" x14ac:dyDescent="0.25">
      <c r="D80" s="19">
        <f>B80-C80</f>
        <v>0</v>
      </c>
      <c r="F80" s="12" t="e">
        <f>C80/B80</f>
        <v>#DIV/0!</v>
      </c>
      <c r="H80" s="18">
        <f t="shared" si="4"/>
        <v>0</v>
      </c>
      <c r="I80" s="22" t="e">
        <f t="shared" si="5"/>
        <v>#DIV/0!</v>
      </c>
    </row>
    <row r="81" spans="4:6" x14ac:dyDescent="0.25">
      <c r="D81" s="19">
        <f>B81-C81</f>
        <v>0</v>
      </c>
      <c r="F81" s="12" t="e">
        <f>C81/B81</f>
        <v>#DIV/0!</v>
      </c>
    </row>
    <row r="82" spans="4:6" x14ac:dyDescent="0.25">
      <c r="D82" s="19">
        <f>B82-C82</f>
        <v>0</v>
      </c>
      <c r="F82" s="12" t="e">
        <f>C82/B82</f>
        <v>#DIV/0!</v>
      </c>
    </row>
    <row r="83" spans="4:6" x14ac:dyDescent="0.25">
      <c r="D83" s="19">
        <f>B83-C83</f>
        <v>0</v>
      </c>
      <c r="F83" s="12" t="e">
        <f>C83/B83</f>
        <v>#DIV/0!</v>
      </c>
    </row>
    <row r="84" spans="4:6" x14ac:dyDescent="0.25">
      <c r="D84" s="19">
        <f>B84-C84</f>
        <v>0</v>
      </c>
      <c r="F84" s="12" t="e">
        <f>C84/B84</f>
        <v>#DIV/0!</v>
      </c>
    </row>
    <row r="85" spans="4:6" x14ac:dyDescent="0.25">
      <c r="D85" s="19">
        <f>B85-C85</f>
        <v>0</v>
      </c>
      <c r="F85" s="12" t="e">
        <f>C85/B85</f>
        <v>#DIV/0!</v>
      </c>
    </row>
    <row r="86" spans="4:6" x14ac:dyDescent="0.25">
      <c r="D86" s="19">
        <f>B86-C86</f>
        <v>0</v>
      </c>
      <c r="F86" s="12" t="e">
        <f>C86/B86</f>
        <v>#DIV/0!</v>
      </c>
    </row>
    <row r="87" spans="4:6" x14ac:dyDescent="0.25">
      <c r="D87" s="19">
        <f>B87-C87</f>
        <v>0</v>
      </c>
      <c r="F87" s="12" t="e">
        <f>C87/B87</f>
        <v>#DIV/0!</v>
      </c>
    </row>
    <row r="88" spans="4:6" x14ac:dyDescent="0.25">
      <c r="D88" s="19">
        <f>B88-C88</f>
        <v>0</v>
      </c>
      <c r="F88" s="12" t="e">
        <f>C88/B88</f>
        <v>#DIV/0!</v>
      </c>
    </row>
    <row r="89" spans="4:6" x14ac:dyDescent="0.25">
      <c r="D89" s="19">
        <f>B89-C89</f>
        <v>0</v>
      </c>
      <c r="F89" s="12" t="e">
        <f>C89/B89</f>
        <v>#DIV/0!</v>
      </c>
    </row>
    <row r="90" spans="4:6" x14ac:dyDescent="0.25">
      <c r="D90" s="19">
        <f>B90-C90</f>
        <v>0</v>
      </c>
      <c r="F90" s="12" t="e">
        <f>C90/B90</f>
        <v>#DIV/0!</v>
      </c>
    </row>
    <row r="91" spans="4:6" x14ac:dyDescent="0.25">
      <c r="D91" s="19">
        <f>B91-C91</f>
        <v>0</v>
      </c>
      <c r="F91" s="12" t="e">
        <f>C91/B91</f>
        <v>#DIV/0!</v>
      </c>
    </row>
    <row r="92" spans="4:6" x14ac:dyDescent="0.25">
      <c r="D92" s="19">
        <f>B92-C92</f>
        <v>0</v>
      </c>
      <c r="F92" s="12" t="e">
        <f>C92/B92</f>
        <v>#DIV/0!</v>
      </c>
    </row>
    <row r="93" spans="4:6" x14ac:dyDescent="0.25">
      <c r="D93" s="19">
        <f>B93-C93</f>
        <v>0</v>
      </c>
      <c r="F93" s="12" t="e">
        <f>C93/B93</f>
        <v>#DIV/0!</v>
      </c>
    </row>
    <row r="94" spans="4:6" x14ac:dyDescent="0.25">
      <c r="D94" s="19">
        <f>B94-C94</f>
        <v>0</v>
      </c>
      <c r="F94" s="12" t="e">
        <f>C94/B94</f>
        <v>#DIV/0!</v>
      </c>
    </row>
    <row r="95" spans="4:6" x14ac:dyDescent="0.25">
      <c r="D95" s="19">
        <f>B95-C95</f>
        <v>0</v>
      </c>
      <c r="F95" s="12" t="e">
        <f>C95/B95</f>
        <v>#DIV/0!</v>
      </c>
    </row>
    <row r="96" spans="4:6" x14ac:dyDescent="0.25">
      <c r="D96" s="19">
        <f>B96-C96</f>
        <v>0</v>
      </c>
      <c r="F96" s="12" t="e">
        <f>C96/B96</f>
        <v>#DIV/0!</v>
      </c>
    </row>
    <row r="97" spans="4:6" x14ac:dyDescent="0.25">
      <c r="D97" s="19">
        <f>B97-C97</f>
        <v>0</v>
      </c>
      <c r="F97" s="12" t="e">
        <f>C97/B97</f>
        <v>#DIV/0!</v>
      </c>
    </row>
    <row r="98" spans="4:6" x14ac:dyDescent="0.25">
      <c r="D98" s="19">
        <f>B98-C98</f>
        <v>0</v>
      </c>
      <c r="F98" s="12" t="e">
        <f>C98/B98</f>
        <v>#DIV/0!</v>
      </c>
    </row>
    <row r="99" spans="4:6" x14ac:dyDescent="0.25">
      <c r="D99" s="19">
        <f>B99-C99</f>
        <v>0</v>
      </c>
      <c r="F99" s="12" t="e">
        <f>C99/B99</f>
        <v>#DIV/0!</v>
      </c>
    </row>
    <row r="100" spans="4:6" x14ac:dyDescent="0.25">
      <c r="D100" s="19">
        <f>B100-C100</f>
        <v>0</v>
      </c>
      <c r="F100" s="12" t="e">
        <f>C100/B100</f>
        <v>#DIV/0!</v>
      </c>
    </row>
    <row r="101" spans="4:6" x14ac:dyDescent="0.25">
      <c r="D101" s="19">
        <f>B101-C101</f>
        <v>0</v>
      </c>
      <c r="F101" s="12" t="e">
        <f>C101/B101</f>
        <v>#DIV/0!</v>
      </c>
    </row>
    <row r="102" spans="4:6" x14ac:dyDescent="0.25">
      <c r="D102" s="19">
        <f>B102-C102</f>
        <v>0</v>
      </c>
      <c r="F102" s="12" t="e">
        <f>C102/B102</f>
        <v>#DIV/0!</v>
      </c>
    </row>
    <row r="103" spans="4:6" x14ac:dyDescent="0.25">
      <c r="D103" s="19">
        <f>B103-C103</f>
        <v>0</v>
      </c>
      <c r="F103" s="12" t="e">
        <f>C103/B103</f>
        <v>#DIV/0!</v>
      </c>
    </row>
    <row r="104" spans="4:6" x14ac:dyDescent="0.25">
      <c r="D104" s="19">
        <f>B104-C104</f>
        <v>0</v>
      </c>
      <c r="F104" s="12" t="e">
        <f>C104/B104</f>
        <v>#DIV/0!</v>
      </c>
    </row>
    <row r="105" spans="4:6" x14ac:dyDescent="0.25">
      <c r="D105" s="19">
        <f>B105-C105</f>
        <v>0</v>
      </c>
      <c r="F105" s="12" t="e">
        <f>C105/B105</f>
        <v>#DIV/0!</v>
      </c>
    </row>
    <row r="106" spans="4:6" x14ac:dyDescent="0.25">
      <c r="D106" s="19">
        <f>B106-C106</f>
        <v>0</v>
      </c>
      <c r="F106" s="12" t="e">
        <f>C106/B106</f>
        <v>#DIV/0!</v>
      </c>
    </row>
    <row r="107" spans="4:6" x14ac:dyDescent="0.25">
      <c r="D107" s="19">
        <f>B107-C107</f>
        <v>0</v>
      </c>
      <c r="F107" s="12" t="e">
        <f>C107/B107</f>
        <v>#DIV/0!</v>
      </c>
    </row>
    <row r="108" spans="4:6" x14ac:dyDescent="0.25">
      <c r="D108" s="19">
        <f>B108-C108</f>
        <v>0</v>
      </c>
      <c r="F108" s="12" t="e">
        <f>C108/B108</f>
        <v>#DIV/0!</v>
      </c>
    </row>
    <row r="109" spans="4:6" x14ac:dyDescent="0.25">
      <c r="D109" s="19">
        <f>B109-C109</f>
        <v>0</v>
      </c>
      <c r="F109" s="12" t="e">
        <f>C109/B109</f>
        <v>#DIV/0!</v>
      </c>
    </row>
    <row r="110" spans="4:6" x14ac:dyDescent="0.25">
      <c r="D110" s="19">
        <f>B110-C110</f>
        <v>0</v>
      </c>
      <c r="F110" s="12" t="e">
        <f>C110/B110</f>
        <v>#DIV/0!</v>
      </c>
    </row>
    <row r="111" spans="4:6" x14ac:dyDescent="0.25">
      <c r="D111" s="19">
        <f>B111-C111</f>
        <v>0</v>
      </c>
      <c r="F111" s="12" t="e">
        <f>C111/B111</f>
        <v>#DIV/0!</v>
      </c>
    </row>
    <row r="112" spans="4:6" x14ac:dyDescent="0.25">
      <c r="D112" s="19">
        <f>B112-C112</f>
        <v>0</v>
      </c>
      <c r="F112" s="12" t="e">
        <f>C112/B112</f>
        <v>#DIV/0!</v>
      </c>
    </row>
    <row r="113" spans="4:6" x14ac:dyDescent="0.25">
      <c r="D113" s="19">
        <f>B113-C113</f>
        <v>0</v>
      </c>
      <c r="F113" s="12" t="e">
        <f>C113/B113</f>
        <v>#DIV/0!</v>
      </c>
    </row>
    <row r="114" spans="4:6" x14ac:dyDescent="0.25">
      <c r="D114" s="19">
        <f>B114-C114</f>
        <v>0</v>
      </c>
      <c r="F114" s="12" t="e">
        <f>C114/B114</f>
        <v>#DIV/0!</v>
      </c>
    </row>
    <row r="115" spans="4:6" x14ac:dyDescent="0.25">
      <c r="D115" s="19">
        <f>B115-C115</f>
        <v>0</v>
      </c>
      <c r="F115" s="12" t="e">
        <f>C115/B115</f>
        <v>#DIV/0!</v>
      </c>
    </row>
    <row r="116" spans="4:6" x14ac:dyDescent="0.25">
      <c r="D116" s="19">
        <f>B116-C116</f>
        <v>0</v>
      </c>
      <c r="F116" s="12" t="e">
        <f>C116/B116</f>
        <v>#DIV/0!</v>
      </c>
    </row>
    <row r="117" spans="4:6" x14ac:dyDescent="0.25">
      <c r="D117" s="19">
        <f>B117-C117</f>
        <v>0</v>
      </c>
      <c r="F117" s="12" t="e">
        <f>C117/B117</f>
        <v>#DIV/0!</v>
      </c>
    </row>
    <row r="118" spans="4:6" x14ac:dyDescent="0.25">
      <c r="D118" s="19">
        <f>B118-C118</f>
        <v>0</v>
      </c>
      <c r="F118" s="12" t="e">
        <f>C118/B118</f>
        <v>#DIV/0!</v>
      </c>
    </row>
    <row r="119" spans="4:6" x14ac:dyDescent="0.25">
      <c r="D119" s="19">
        <f>B119-C119</f>
        <v>0</v>
      </c>
      <c r="F119" s="12" t="e">
        <f>C119/B119</f>
        <v>#DIV/0!</v>
      </c>
    </row>
    <row r="120" spans="4:6" x14ac:dyDescent="0.25">
      <c r="D120" s="19">
        <f>B120-C120</f>
        <v>0</v>
      </c>
      <c r="F120" s="12" t="e">
        <f>C120/B120</f>
        <v>#DIV/0!</v>
      </c>
    </row>
    <row r="121" spans="4:6" x14ac:dyDescent="0.25">
      <c r="D121" s="19">
        <f>B121-C121</f>
        <v>0</v>
      </c>
      <c r="F121" s="12" t="e">
        <f>C121/B121</f>
        <v>#DIV/0!</v>
      </c>
    </row>
    <row r="122" spans="4:6" x14ac:dyDescent="0.25">
      <c r="D122" s="19">
        <f>B122-C122</f>
        <v>0</v>
      </c>
      <c r="F122" s="12" t="e">
        <f>C122/B122</f>
        <v>#DIV/0!</v>
      </c>
    </row>
    <row r="123" spans="4:6" x14ac:dyDescent="0.25">
      <c r="D123" s="19">
        <f>B123-C123</f>
        <v>0</v>
      </c>
      <c r="F123" s="12" t="e">
        <f>C123/B123</f>
        <v>#DIV/0!</v>
      </c>
    </row>
    <row r="124" spans="4:6" x14ac:dyDescent="0.25">
      <c r="D124" s="19">
        <f>B124-C124</f>
        <v>0</v>
      </c>
      <c r="F124" s="12" t="e">
        <f>C124/B124</f>
        <v>#DIV/0!</v>
      </c>
    </row>
    <row r="125" spans="4:6" x14ac:dyDescent="0.25">
      <c r="D125" s="19">
        <f>B125-C125</f>
        <v>0</v>
      </c>
      <c r="F125" s="12" t="e">
        <f>C125/B125</f>
        <v>#DIV/0!</v>
      </c>
    </row>
    <row r="126" spans="4:6" x14ac:dyDescent="0.25">
      <c r="D126" s="19">
        <f>B126-C126</f>
        <v>0</v>
      </c>
      <c r="F126" s="12" t="e">
        <f>C126/B126</f>
        <v>#DIV/0!</v>
      </c>
    </row>
    <row r="127" spans="4:6" x14ac:dyDescent="0.25">
      <c r="D127" s="19">
        <f>B127-C127</f>
        <v>0</v>
      </c>
      <c r="F127" s="12" t="e">
        <f>C127/B127</f>
        <v>#DIV/0!</v>
      </c>
    </row>
    <row r="128" spans="4:6" x14ac:dyDescent="0.25">
      <c r="D128" s="19">
        <f>B128-C128</f>
        <v>0</v>
      </c>
      <c r="F128" s="12" t="e">
        <f>C128/B128</f>
        <v>#DIV/0!</v>
      </c>
    </row>
    <row r="129" spans="4:6" x14ac:dyDescent="0.25">
      <c r="D129" s="19">
        <f>B129-C129</f>
        <v>0</v>
      </c>
      <c r="F129" s="12" t="e">
        <f>C129/B129</f>
        <v>#DIV/0!</v>
      </c>
    </row>
    <row r="130" spans="4:6" x14ac:dyDescent="0.25">
      <c r="D130" s="19">
        <f>B130-C130</f>
        <v>0</v>
      </c>
      <c r="F130" s="12" t="e">
        <f>C130/B130</f>
        <v>#DIV/0!</v>
      </c>
    </row>
    <row r="131" spans="4:6" x14ac:dyDescent="0.25">
      <c r="D131" s="19">
        <f>B131-C131</f>
        <v>0</v>
      </c>
      <c r="F131" s="12" t="e">
        <f>C131/B131</f>
        <v>#DIV/0!</v>
      </c>
    </row>
    <row r="132" spans="4:6" x14ac:dyDescent="0.25">
      <c r="D132" s="19">
        <f>B132-C132</f>
        <v>0</v>
      </c>
      <c r="F132" s="12" t="e">
        <f>C132/B132</f>
        <v>#DIV/0!</v>
      </c>
    </row>
    <row r="133" spans="4:6" x14ac:dyDescent="0.25">
      <c r="D133" s="19">
        <f>B133-C133</f>
        <v>0</v>
      </c>
      <c r="F133" s="12" t="e">
        <f>C133/B133</f>
        <v>#DIV/0!</v>
      </c>
    </row>
    <row r="134" spans="4:6" x14ac:dyDescent="0.25">
      <c r="D134" s="19">
        <f>B134-C134</f>
        <v>0</v>
      </c>
      <c r="F134" s="12" t="e">
        <f>C134/B134</f>
        <v>#DIV/0!</v>
      </c>
    </row>
    <row r="135" spans="4:6" x14ac:dyDescent="0.25">
      <c r="D135" s="19">
        <f>B135-C135</f>
        <v>0</v>
      </c>
      <c r="F135" s="12" t="e">
        <f>C135/B135</f>
        <v>#DIV/0!</v>
      </c>
    </row>
    <row r="136" spans="4:6" x14ac:dyDescent="0.25">
      <c r="D136" s="19">
        <f>B136-C136</f>
        <v>0</v>
      </c>
      <c r="F136" s="12" t="e">
        <f>C136/B136</f>
        <v>#DIV/0!</v>
      </c>
    </row>
    <row r="137" spans="4:6" x14ac:dyDescent="0.25">
      <c r="D137" s="19">
        <f>B137-C137</f>
        <v>0</v>
      </c>
      <c r="F137" s="12" t="e">
        <f>C137/B137</f>
        <v>#DIV/0!</v>
      </c>
    </row>
    <row r="138" spans="4:6" x14ac:dyDescent="0.25">
      <c r="D138" s="19">
        <f>B138-C138</f>
        <v>0</v>
      </c>
      <c r="F138" s="12" t="e">
        <f>C138/B138</f>
        <v>#DIV/0!</v>
      </c>
    </row>
    <row r="139" spans="4:6" x14ac:dyDescent="0.25">
      <c r="D139" s="19">
        <f>B139-C139</f>
        <v>0</v>
      </c>
      <c r="F139" s="12" t="e">
        <f>C139/B139</f>
        <v>#DIV/0!</v>
      </c>
    </row>
    <row r="140" spans="4:6" x14ac:dyDescent="0.25">
      <c r="D140" s="19">
        <f>B140-C140</f>
        <v>0</v>
      </c>
      <c r="F140" s="12" t="e">
        <f>C140/B140</f>
        <v>#DIV/0!</v>
      </c>
    </row>
    <row r="141" spans="4:6" x14ac:dyDescent="0.25">
      <c r="D141" s="19">
        <f>B141-C141</f>
        <v>0</v>
      </c>
      <c r="F141" s="12" t="e">
        <f>C141/B141</f>
        <v>#DIV/0!</v>
      </c>
    </row>
    <row r="142" spans="4:6" x14ac:dyDescent="0.25">
      <c r="D142" s="19">
        <f>B142-C142</f>
        <v>0</v>
      </c>
      <c r="F142" s="12" t="e">
        <f>C142/B142</f>
        <v>#DIV/0!</v>
      </c>
    </row>
    <row r="143" spans="4:6" x14ac:dyDescent="0.25">
      <c r="D143" s="19">
        <f>B143-C143</f>
        <v>0</v>
      </c>
      <c r="F143" s="12" t="e">
        <f>C143/B143</f>
        <v>#DIV/0!</v>
      </c>
    </row>
    <row r="144" spans="4:6" x14ac:dyDescent="0.25">
      <c r="D144" s="19">
        <f>B144-C144</f>
        <v>0</v>
      </c>
      <c r="F144" s="12" t="e">
        <f>C144/B144</f>
        <v>#DIV/0!</v>
      </c>
    </row>
    <row r="145" spans="4:6" x14ac:dyDescent="0.25">
      <c r="D145" s="19">
        <f>B145-C145</f>
        <v>0</v>
      </c>
      <c r="F145" s="12" t="e">
        <f>C145/B145</f>
        <v>#DIV/0!</v>
      </c>
    </row>
    <row r="146" spans="4:6" x14ac:dyDescent="0.25">
      <c r="D146" s="19">
        <f>B146-C146</f>
        <v>0</v>
      </c>
      <c r="F146" s="12" t="e">
        <f>C146/B146</f>
        <v>#DIV/0!</v>
      </c>
    </row>
    <row r="147" spans="4:6" x14ac:dyDescent="0.25">
      <c r="D147" s="19">
        <f>B147-C147</f>
        <v>0</v>
      </c>
      <c r="F147" s="12" t="e">
        <f>C147/B147</f>
        <v>#DIV/0!</v>
      </c>
    </row>
    <row r="148" spans="4:6" x14ac:dyDescent="0.25">
      <c r="D148" s="19">
        <f>B148-C148</f>
        <v>0</v>
      </c>
      <c r="F148" s="12" t="e">
        <f>C148/B148</f>
        <v>#DIV/0!</v>
      </c>
    </row>
    <row r="149" spans="4:6" x14ac:dyDescent="0.25">
      <c r="D149" s="19">
        <f>B149-C149</f>
        <v>0</v>
      </c>
      <c r="F149" s="12" t="e">
        <f>C149/B149</f>
        <v>#DIV/0!</v>
      </c>
    </row>
    <row r="150" spans="4:6" x14ac:dyDescent="0.25">
      <c r="D150" s="19">
        <f>B150-C150</f>
        <v>0</v>
      </c>
      <c r="F150" s="12" t="e">
        <f>C150/B150</f>
        <v>#DIV/0!</v>
      </c>
    </row>
    <row r="151" spans="4:6" x14ac:dyDescent="0.25">
      <c r="D151" s="19">
        <f>B151-C151</f>
        <v>0</v>
      </c>
      <c r="F151" s="12" t="e">
        <f>C151/B151</f>
        <v>#DIV/0!</v>
      </c>
    </row>
    <row r="152" spans="4:6" x14ac:dyDescent="0.25">
      <c r="D152" s="19">
        <f>B152-C152</f>
        <v>0</v>
      </c>
      <c r="F152" s="12" t="e">
        <f>C152/B152</f>
        <v>#DIV/0!</v>
      </c>
    </row>
    <row r="153" spans="4:6" x14ac:dyDescent="0.25">
      <c r="D153" s="19">
        <f>B153-C153</f>
        <v>0</v>
      </c>
      <c r="F153" s="12" t="e">
        <f>C153/B153</f>
        <v>#DIV/0!</v>
      </c>
    </row>
    <row r="154" spans="4:6" x14ac:dyDescent="0.25">
      <c r="D154" s="19">
        <f>B154-C154</f>
        <v>0</v>
      </c>
      <c r="F154" s="12" t="e">
        <f>C154/B154</f>
        <v>#DIV/0!</v>
      </c>
    </row>
    <row r="155" spans="4:6" x14ac:dyDescent="0.25">
      <c r="D155" s="19">
        <f>B155-C155</f>
        <v>0</v>
      </c>
      <c r="F155" s="12" t="e">
        <f>C155/B155</f>
        <v>#DIV/0!</v>
      </c>
    </row>
    <row r="156" spans="4:6" x14ac:dyDescent="0.25">
      <c r="D156" s="19">
        <f>B156-C156</f>
        <v>0</v>
      </c>
      <c r="F156" s="12" t="e">
        <f>C156/B156</f>
        <v>#DIV/0!</v>
      </c>
    </row>
    <row r="157" spans="4:6" x14ac:dyDescent="0.25">
      <c r="D157" s="19">
        <f>B157-C157</f>
        <v>0</v>
      </c>
      <c r="F157" s="12" t="e">
        <f>C157/B157</f>
        <v>#DIV/0!</v>
      </c>
    </row>
    <row r="158" spans="4:6" x14ac:dyDescent="0.25">
      <c r="D158" s="19">
        <f>B158-C158</f>
        <v>0</v>
      </c>
      <c r="F158" s="12" t="e">
        <f>C158/B158</f>
        <v>#DIV/0!</v>
      </c>
    </row>
    <row r="159" spans="4:6" x14ac:dyDescent="0.25">
      <c r="D159" s="19">
        <f>B159-C159</f>
        <v>0</v>
      </c>
      <c r="F159" s="12" t="e">
        <f>C159/B159</f>
        <v>#DIV/0!</v>
      </c>
    </row>
    <row r="160" spans="4:6" x14ac:dyDescent="0.25">
      <c r="D160" s="19">
        <f>B160-C160</f>
        <v>0</v>
      </c>
      <c r="F160" s="12" t="e">
        <f>C160/B160</f>
        <v>#DIV/0!</v>
      </c>
    </row>
    <row r="161" spans="4:6" x14ac:dyDescent="0.25">
      <c r="D161" s="19">
        <f>B161-C161</f>
        <v>0</v>
      </c>
      <c r="F161" s="12" t="e">
        <f>C161/B161</f>
        <v>#DIV/0!</v>
      </c>
    </row>
    <row r="162" spans="4:6" x14ac:dyDescent="0.25">
      <c r="D162" s="19">
        <f>B162-C162</f>
        <v>0</v>
      </c>
      <c r="F162" s="12" t="e">
        <f>C162/B162</f>
        <v>#DIV/0!</v>
      </c>
    </row>
    <row r="163" spans="4:6" x14ac:dyDescent="0.25">
      <c r="D163" s="19">
        <f>B163-C163</f>
        <v>0</v>
      </c>
      <c r="F163" s="12" t="e">
        <f>C163/B163</f>
        <v>#DIV/0!</v>
      </c>
    </row>
    <row r="164" spans="4:6" x14ac:dyDescent="0.25">
      <c r="D164" s="19">
        <f>B164-C164</f>
        <v>0</v>
      </c>
      <c r="F164" s="12" t="e">
        <f>C164/B164</f>
        <v>#DIV/0!</v>
      </c>
    </row>
    <row r="165" spans="4:6" x14ac:dyDescent="0.25">
      <c r="D165" s="19">
        <f>B165-C165</f>
        <v>0</v>
      </c>
      <c r="F165" s="12" t="e">
        <f>C165/B165</f>
        <v>#DIV/0!</v>
      </c>
    </row>
    <row r="166" spans="4:6" x14ac:dyDescent="0.25">
      <c r="D166" s="19">
        <f>B166-C166</f>
        <v>0</v>
      </c>
      <c r="F166" s="12" t="e">
        <f>C166/B166</f>
        <v>#DIV/0!</v>
      </c>
    </row>
    <row r="167" spans="4:6" x14ac:dyDescent="0.25">
      <c r="D167" s="19">
        <f>B167-C167</f>
        <v>0</v>
      </c>
      <c r="F167" s="12" t="e">
        <f>C167/B167</f>
        <v>#DIV/0!</v>
      </c>
    </row>
    <row r="168" spans="4:6" x14ac:dyDescent="0.25">
      <c r="D168" s="19">
        <f>B168-C168</f>
        <v>0</v>
      </c>
      <c r="F168" s="12" t="e">
        <f>C168/B168</f>
        <v>#DIV/0!</v>
      </c>
    </row>
    <row r="169" spans="4:6" x14ac:dyDescent="0.25">
      <c r="D169" s="19">
        <f>B169-C169</f>
        <v>0</v>
      </c>
      <c r="F169" s="12" t="e">
        <f>C169/B169</f>
        <v>#DIV/0!</v>
      </c>
    </row>
    <row r="170" spans="4:6" x14ac:dyDescent="0.25">
      <c r="D170" s="19">
        <f>B170-C170</f>
        <v>0</v>
      </c>
      <c r="F170" s="12" t="e">
        <f>C170/B170</f>
        <v>#DIV/0!</v>
      </c>
    </row>
    <row r="171" spans="4:6" x14ac:dyDescent="0.25">
      <c r="D171" s="19">
        <f>B171-C171</f>
        <v>0</v>
      </c>
      <c r="F171" s="12" t="e">
        <f>C171/B171</f>
        <v>#DIV/0!</v>
      </c>
    </row>
    <row r="172" spans="4:6" x14ac:dyDescent="0.25">
      <c r="D172" s="19">
        <f>B172-C172</f>
        <v>0</v>
      </c>
      <c r="F172" s="12" t="e">
        <f>C172/B172</f>
        <v>#DIV/0!</v>
      </c>
    </row>
    <row r="173" spans="4:6" x14ac:dyDescent="0.25">
      <c r="D173" s="19">
        <f>B173-C173</f>
        <v>0</v>
      </c>
      <c r="F173" s="12" t="e">
        <f>C173/B173</f>
        <v>#DIV/0!</v>
      </c>
    </row>
    <row r="174" spans="4:6" x14ac:dyDescent="0.25">
      <c r="D174" s="19">
        <f>B174-C174</f>
        <v>0</v>
      </c>
    </row>
  </sheetData>
  <mergeCells count="3">
    <mergeCell ref="A7:I7"/>
    <mergeCell ref="E8:F8"/>
    <mergeCell ref="A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 Mahmoud Taha</cp:lastModifiedBy>
  <dcterms:created xsi:type="dcterms:W3CDTF">2025-03-11T08:37:26Z</dcterms:created>
  <dcterms:modified xsi:type="dcterms:W3CDTF">2025-04-21T22:52:22Z</dcterms:modified>
</cp:coreProperties>
</file>